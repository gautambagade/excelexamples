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1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22bbb91480d642c0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allegiscloud-my.sharepoint.com/personal/gdilipba_teksystems_com/Documents/Desktop/wxcel/"/>
    </mc:Choice>
  </mc:AlternateContent>
  <xr:revisionPtr revIDLastSave="0" documentId="8_{414D544B-4A3A-497F-BD64-74CB16F7D5E6}" xr6:coauthVersionLast="47" xr6:coauthVersionMax="47" xr10:uidLastSave="{00000000-0000-0000-0000-000000000000}"/>
  <bookViews>
    <workbookView xWindow="-110" yWindow="-110" windowWidth="19420" windowHeight="10420" tabRatio="603" activeTab="2" xr2:uid="{00000000-000D-0000-FFFF-FFFF00000000}"/>
  </bookViews>
  <sheets>
    <sheet name="Data" sheetId="2" r:id="rId1"/>
    <sheet name="Calculation" sheetId="12" r:id="rId2"/>
    <sheet name="Dashboard" sheetId="1" r:id="rId3"/>
    <sheet name="calc" sheetId="11" state="hidden" r:id="rId4"/>
  </sheets>
  <definedNames>
    <definedName name="Months">Calculation!$F$5:$Q$5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25" i="12" l="1"/>
  <c r="T2" i="1" l="1"/>
  <c r="P2" i="1"/>
  <c r="F2" i="1" l="1"/>
  <c r="B2" i="1"/>
  <c r="T4" i="12" l="1"/>
  <c r="G6" i="12"/>
  <c r="H6" i="12"/>
  <c r="I6" i="12"/>
  <c r="J6" i="12"/>
  <c r="K6" i="12"/>
  <c r="L6" i="12"/>
  <c r="M6" i="12"/>
  <c r="N6" i="12"/>
  <c r="O6" i="12"/>
  <c r="P6" i="12"/>
  <c r="Q6" i="12"/>
  <c r="G7" i="12"/>
  <c r="H7" i="12"/>
  <c r="I7" i="12"/>
  <c r="J7" i="12"/>
  <c r="K7" i="12"/>
  <c r="L7" i="12"/>
  <c r="M7" i="12"/>
  <c r="N7" i="12"/>
  <c r="O7" i="12"/>
  <c r="P7" i="12"/>
  <c r="Q7" i="12"/>
  <c r="G8" i="12"/>
  <c r="H8" i="12"/>
  <c r="I8" i="12"/>
  <c r="J8" i="12"/>
  <c r="K8" i="12"/>
  <c r="L8" i="12"/>
  <c r="M8" i="12"/>
  <c r="N8" i="12"/>
  <c r="O8" i="12"/>
  <c r="P8" i="12"/>
  <c r="Q8" i="12"/>
  <c r="G9" i="12"/>
  <c r="H9" i="12"/>
  <c r="I9" i="12"/>
  <c r="J9" i="12"/>
  <c r="K9" i="12"/>
  <c r="L9" i="12"/>
  <c r="M9" i="12"/>
  <c r="N9" i="12"/>
  <c r="O9" i="12"/>
  <c r="P9" i="12"/>
  <c r="Q9" i="12"/>
  <c r="G10" i="12"/>
  <c r="H10" i="12"/>
  <c r="I10" i="12"/>
  <c r="J10" i="12"/>
  <c r="K10" i="12"/>
  <c r="L10" i="12"/>
  <c r="M10" i="12"/>
  <c r="N10" i="12"/>
  <c r="O10" i="12"/>
  <c r="P10" i="12"/>
  <c r="Q10" i="12"/>
  <c r="G11" i="12"/>
  <c r="H11" i="12"/>
  <c r="I11" i="12"/>
  <c r="J11" i="12"/>
  <c r="K11" i="12"/>
  <c r="L11" i="12"/>
  <c r="M11" i="12"/>
  <c r="N11" i="12"/>
  <c r="O11" i="12"/>
  <c r="P11" i="12"/>
  <c r="Q11" i="12"/>
  <c r="G12" i="12"/>
  <c r="H12" i="12"/>
  <c r="I12" i="12"/>
  <c r="J12" i="12"/>
  <c r="K12" i="12"/>
  <c r="L12" i="12"/>
  <c r="M12" i="12"/>
  <c r="N12" i="12"/>
  <c r="O12" i="12"/>
  <c r="P12" i="12"/>
  <c r="Q12" i="12"/>
  <c r="G13" i="12"/>
  <c r="H13" i="12"/>
  <c r="I13" i="12"/>
  <c r="J13" i="12"/>
  <c r="K13" i="12"/>
  <c r="L13" i="12"/>
  <c r="M13" i="12"/>
  <c r="N13" i="12"/>
  <c r="O13" i="12"/>
  <c r="P13" i="12"/>
  <c r="Q13" i="12"/>
  <c r="G14" i="12"/>
  <c r="H14" i="12"/>
  <c r="I14" i="12"/>
  <c r="J14" i="12"/>
  <c r="K14" i="12"/>
  <c r="L14" i="12"/>
  <c r="M14" i="12"/>
  <c r="N14" i="12"/>
  <c r="O14" i="12"/>
  <c r="P14" i="12"/>
  <c r="Q14" i="12"/>
  <c r="G15" i="12"/>
  <c r="H15" i="12"/>
  <c r="I15" i="12"/>
  <c r="J15" i="12"/>
  <c r="K15" i="12"/>
  <c r="L15" i="12"/>
  <c r="M15" i="12"/>
  <c r="N15" i="12"/>
  <c r="O15" i="12"/>
  <c r="P15" i="12"/>
  <c r="Q15" i="12"/>
  <c r="G16" i="12"/>
  <c r="H16" i="12"/>
  <c r="I16" i="12"/>
  <c r="J16" i="12"/>
  <c r="K16" i="12"/>
  <c r="L16" i="12"/>
  <c r="M16" i="12"/>
  <c r="N16" i="12"/>
  <c r="O16" i="12"/>
  <c r="P16" i="12"/>
  <c r="Q16" i="12"/>
  <c r="G17" i="12"/>
  <c r="H17" i="12"/>
  <c r="I17" i="12"/>
  <c r="J17" i="12"/>
  <c r="K17" i="12"/>
  <c r="L17" i="12"/>
  <c r="M17" i="12"/>
  <c r="N17" i="12"/>
  <c r="O17" i="12"/>
  <c r="P17" i="12"/>
  <c r="Q17" i="12"/>
  <c r="G18" i="12"/>
  <c r="H18" i="12"/>
  <c r="I18" i="12"/>
  <c r="J18" i="12"/>
  <c r="K18" i="12"/>
  <c r="L18" i="12"/>
  <c r="M18" i="12"/>
  <c r="N18" i="12"/>
  <c r="O18" i="12"/>
  <c r="P18" i="12"/>
  <c r="Q18" i="12"/>
  <c r="G19" i="12"/>
  <c r="H19" i="12"/>
  <c r="I19" i="12"/>
  <c r="J19" i="12"/>
  <c r="K19" i="12"/>
  <c r="L19" i="12"/>
  <c r="M19" i="12"/>
  <c r="N19" i="12"/>
  <c r="O19" i="12"/>
  <c r="P19" i="12"/>
  <c r="Q19" i="12"/>
  <c r="G20" i="12"/>
  <c r="H20" i="12"/>
  <c r="I20" i="12"/>
  <c r="J20" i="12"/>
  <c r="K20" i="12"/>
  <c r="L20" i="12"/>
  <c r="M20" i="12"/>
  <c r="N20" i="12"/>
  <c r="O20" i="12"/>
  <c r="P20" i="12"/>
  <c r="Q20" i="12"/>
  <c r="G21" i="12"/>
  <c r="H21" i="12"/>
  <c r="I21" i="12"/>
  <c r="J21" i="12"/>
  <c r="K21" i="12"/>
  <c r="L21" i="12"/>
  <c r="M21" i="12"/>
  <c r="N21" i="12"/>
  <c r="O21" i="12"/>
  <c r="P21" i="12"/>
  <c r="Q21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6" i="12"/>
  <c r="C7" i="12"/>
  <c r="F7" i="1" s="1"/>
  <c r="C8" i="12"/>
  <c r="L7" i="1" s="1"/>
  <c r="C9" i="12"/>
  <c r="P7" i="1" s="1"/>
  <c r="C10" i="12"/>
  <c r="T7" i="1" s="1"/>
  <c r="C11" i="12"/>
  <c r="B13" i="1" s="1"/>
  <c r="C12" i="12"/>
  <c r="F13" i="1" s="1"/>
  <c r="C13" i="12"/>
  <c r="L13" i="1" s="1"/>
  <c r="C14" i="12"/>
  <c r="P13" i="1" s="1"/>
  <c r="C15" i="12"/>
  <c r="T13" i="1" s="1"/>
  <c r="C16" i="12"/>
  <c r="C17" i="12"/>
  <c r="C18" i="12"/>
  <c r="C19" i="12"/>
  <c r="C20" i="12"/>
  <c r="C21" i="12"/>
  <c r="C6" i="12"/>
  <c r="B19" i="12"/>
  <c r="B16" i="12"/>
  <c r="B7" i="12"/>
  <c r="B8" i="12"/>
  <c r="B9" i="12"/>
  <c r="B10" i="12"/>
  <c r="B11" i="12"/>
  <c r="B12" i="12"/>
  <c r="B13" i="12"/>
  <c r="B14" i="12"/>
  <c r="B15" i="12"/>
  <c r="B6" i="12"/>
  <c r="G5" i="12"/>
  <c r="H5" i="12"/>
  <c r="I5" i="12"/>
  <c r="J5" i="12"/>
  <c r="K5" i="12"/>
  <c r="L5" i="12"/>
  <c r="M5" i="12"/>
  <c r="N5" i="12"/>
  <c r="O5" i="12"/>
  <c r="P5" i="12"/>
  <c r="Q5" i="12"/>
  <c r="F5" i="12"/>
  <c r="C5" i="12"/>
  <c r="B5" i="12"/>
  <c r="C17" i="11"/>
  <c r="C16" i="11"/>
  <c r="C15" i="11"/>
  <c r="C10" i="11"/>
  <c r="C11" i="11"/>
  <c r="C12" i="11"/>
  <c r="C13" i="11"/>
  <c r="C9" i="11"/>
  <c r="C8" i="11"/>
  <c r="C7" i="11"/>
  <c r="C6" i="11"/>
  <c r="C5" i="11"/>
  <c r="C4" i="11"/>
  <c r="B7" i="1" s="1"/>
  <c r="F3" i="11"/>
  <c r="G3" i="11" s="1"/>
  <c r="X7" i="12" l="1"/>
  <c r="X11" i="12"/>
  <c r="X15" i="12"/>
  <c r="X19" i="12"/>
  <c r="X18" i="12"/>
  <c r="X8" i="12"/>
  <c r="X12" i="12"/>
  <c r="X16" i="12"/>
  <c r="X20" i="12"/>
  <c r="X14" i="12"/>
  <c r="X9" i="12"/>
  <c r="X13" i="12"/>
  <c r="X17" i="12"/>
  <c r="X21" i="12"/>
  <c r="X10" i="12"/>
  <c r="X6" i="12"/>
  <c r="V19" i="12"/>
  <c r="T26" i="12" s="1"/>
  <c r="V15" i="12"/>
  <c r="V11" i="12"/>
  <c r="V7" i="12"/>
  <c r="V6" i="12"/>
  <c r="V18" i="12"/>
  <c r="Q26" i="12" s="1"/>
  <c r="Q27" i="12" s="1"/>
  <c r="V14" i="12"/>
  <c r="V10" i="12"/>
  <c r="V21" i="12"/>
  <c r="V17" i="12"/>
  <c r="K26" i="12" s="1"/>
  <c r="K27" i="12" s="1"/>
  <c r="V13" i="12"/>
  <c r="V9" i="12"/>
  <c r="V20" i="12"/>
  <c r="V16" i="12"/>
  <c r="E26" i="12" s="1"/>
  <c r="E27" i="12" s="1"/>
  <c r="V12" i="12"/>
  <c r="T12" i="12" s="1"/>
  <c r="V8" i="12"/>
  <c r="G7" i="11"/>
  <c r="G11" i="11"/>
  <c r="G16" i="11"/>
  <c r="G20" i="11"/>
  <c r="G4" i="11"/>
  <c r="G8" i="11"/>
  <c r="G12" i="11"/>
  <c r="G17" i="11"/>
  <c r="G6" i="11"/>
  <c r="G10" i="11"/>
  <c r="G15" i="11"/>
  <c r="G19" i="11"/>
  <c r="G5" i="11"/>
  <c r="G9" i="11"/>
  <c r="G13" i="11"/>
  <c r="G18" i="11"/>
  <c r="F20" i="11"/>
  <c r="F16" i="11"/>
  <c r="F11" i="11"/>
  <c r="F9" i="11"/>
  <c r="F5" i="11"/>
  <c r="H5" i="11" s="1"/>
  <c r="F19" i="11"/>
  <c r="F17" i="11"/>
  <c r="F15" i="11"/>
  <c r="F12" i="11"/>
  <c r="F10" i="11"/>
  <c r="H10" i="11" s="1"/>
  <c r="F8" i="11"/>
  <c r="F6" i="11"/>
  <c r="F4" i="11"/>
  <c r="F18" i="11"/>
  <c r="F13" i="11"/>
  <c r="H13" i="11" s="1"/>
  <c r="F7" i="11"/>
  <c r="T20" i="12" l="1"/>
  <c r="T27" i="12"/>
  <c r="T9" i="12"/>
  <c r="T10" i="12"/>
  <c r="T15" i="12"/>
  <c r="T7" i="12"/>
  <c r="T8" i="12"/>
  <c r="T14" i="12"/>
  <c r="T11" i="12"/>
  <c r="T21" i="12"/>
  <c r="T13" i="12"/>
  <c r="T16" i="12"/>
  <c r="T17" i="12"/>
  <c r="T18" i="12"/>
  <c r="T19" i="12"/>
  <c r="T6" i="12"/>
  <c r="H7" i="11"/>
  <c r="H16" i="11"/>
  <c r="H12" i="11"/>
  <c r="H8" i="11"/>
  <c r="H15" i="11"/>
  <c r="H9" i="11"/>
  <c r="H17" i="11"/>
  <c r="H6" i="11"/>
  <c r="H18" i="11"/>
  <c r="H11" i="11"/>
  <c r="H19" i="11"/>
  <c r="H4" i="11"/>
  <c r="H20" i="11"/>
  <c r="F21" i="2" l="1"/>
  <c r="B14" i="1" l="1"/>
  <c r="F14" i="1"/>
  <c r="L14" i="1"/>
  <c r="P14" i="1"/>
  <c r="T14" i="1"/>
  <c r="N21" i="2"/>
  <c r="J21" i="2"/>
  <c r="P21" i="2"/>
  <c r="L21" i="2"/>
  <c r="H21" i="2"/>
  <c r="O21" i="2"/>
  <c r="G21" i="2"/>
  <c r="Q21" i="2"/>
  <c r="M21" i="2"/>
  <c r="I21" i="2"/>
  <c r="K21" i="2"/>
  <c r="C90" i="1" l="1"/>
  <c r="D90" i="1"/>
  <c r="E90" i="1"/>
  <c r="F90" i="1"/>
  <c r="G90" i="1"/>
  <c r="H90" i="1"/>
  <c r="I90" i="1"/>
  <c r="J90" i="1"/>
  <c r="K90" i="1"/>
  <c r="L90" i="1"/>
  <c r="M90" i="1"/>
  <c r="N90" i="1"/>
  <c r="O90" i="1"/>
  <c r="T4" i="2"/>
  <c r="D82" i="1"/>
  <c r="D83" i="1"/>
  <c r="D84" i="1"/>
  <c r="D85" i="1"/>
  <c r="D86" i="1"/>
  <c r="R6" i="2" l="1"/>
  <c r="B8" i="1" s="1"/>
  <c r="T6" i="2"/>
  <c r="D87" i="1" s="1"/>
  <c r="R7" i="2"/>
  <c r="F8" i="1" s="1"/>
  <c r="R9" i="2"/>
  <c r="P8" i="1" s="1"/>
  <c r="R11" i="2"/>
  <c r="R13" i="2"/>
  <c r="R15" i="2"/>
  <c r="R17" i="2"/>
  <c r="D25" i="11" s="1"/>
  <c r="E25" i="11" s="1"/>
  <c r="R19" i="2"/>
  <c r="R21" i="2"/>
  <c r="T9" i="2"/>
  <c r="T11" i="2"/>
  <c r="T13" i="2"/>
  <c r="T15" i="2"/>
  <c r="T17" i="2"/>
  <c r="T19" i="2"/>
  <c r="T21" i="2"/>
  <c r="R8" i="2"/>
  <c r="D75" i="1" s="1"/>
  <c r="R10" i="2"/>
  <c r="T8" i="1" s="1"/>
  <c r="R12" i="2"/>
  <c r="R14" i="2"/>
  <c r="R16" i="2"/>
  <c r="D24" i="11" s="1"/>
  <c r="R18" i="2"/>
  <c r="D26" i="11" s="1"/>
  <c r="E26" i="11" s="1"/>
  <c r="R20" i="2"/>
  <c r="T8" i="2"/>
  <c r="T10" i="2"/>
  <c r="T12" i="2"/>
  <c r="T14" i="2"/>
  <c r="T16" i="2"/>
  <c r="T18" i="2"/>
  <c r="T20" i="2"/>
  <c r="T7" i="2"/>
  <c r="L8" i="1" l="1"/>
  <c r="E24" i="11"/>
  <c r="D76" i="1"/>
  <c r="E74" i="1" s="1"/>
  <c r="E75" i="1" l="1"/>
</calcChain>
</file>

<file path=xl/sharedStrings.xml><?xml version="1.0" encoding="utf-8"?>
<sst xmlns="http://schemas.openxmlformats.org/spreadsheetml/2006/main" count="84" uniqueCount="52">
  <si>
    <t>Jan</t>
  </si>
  <si>
    <t>Feb</t>
  </si>
  <si>
    <t>Mar</t>
  </si>
  <si>
    <t>F</t>
  </si>
  <si>
    <t xml:space="preserve">M </t>
  </si>
  <si>
    <t>Apr</t>
  </si>
  <si>
    <t>Jun</t>
  </si>
  <si>
    <t>Jul</t>
  </si>
  <si>
    <t>Aug</t>
  </si>
  <si>
    <t>May</t>
  </si>
  <si>
    <t>Sep</t>
  </si>
  <si>
    <t>Oct</t>
  </si>
  <si>
    <t>Nov</t>
  </si>
  <si>
    <t>Dec</t>
  </si>
  <si>
    <t>Total</t>
  </si>
  <si>
    <t>Permanent</t>
  </si>
  <si>
    <t>Student</t>
  </si>
  <si>
    <t>Part Time</t>
  </si>
  <si>
    <t>ID</t>
  </si>
  <si>
    <t>Headcount</t>
  </si>
  <si>
    <t>Temporary/contract</t>
  </si>
  <si>
    <t>Full Time</t>
  </si>
  <si>
    <t>Actual</t>
  </si>
  <si>
    <t>Selected Month</t>
  </si>
  <si>
    <t>KPI</t>
  </si>
  <si>
    <t>Absence rate</t>
  </si>
  <si>
    <t>Absence cost</t>
  </si>
  <si>
    <t>Benefits satisfaction</t>
  </si>
  <si>
    <t>Productivity rate</t>
  </si>
  <si>
    <t>Satisfaction index</t>
  </si>
  <si>
    <t>Engagement index</t>
  </si>
  <si>
    <t>Internal promotion rate</t>
  </si>
  <si>
    <t>Net Promoter Score</t>
  </si>
  <si>
    <t>Quality of hire</t>
  </si>
  <si>
    <t>Turnover rate</t>
  </si>
  <si>
    <t>90-day quit rate (%)</t>
  </si>
  <si>
    <t>Training effectiveness (%)</t>
  </si>
  <si>
    <t>Acceptance Ratio (%)</t>
  </si>
  <si>
    <t>Chart Data</t>
  </si>
  <si>
    <t>Reminder</t>
  </si>
  <si>
    <t>Female</t>
  </si>
  <si>
    <t xml:space="preserve"> </t>
  </si>
  <si>
    <t>Male</t>
  </si>
  <si>
    <t>Progress Chart</t>
  </si>
  <si>
    <t>Chart</t>
  </si>
  <si>
    <t>Var.</t>
  </si>
  <si>
    <t>Selected month</t>
  </si>
  <si>
    <t>Variance (T-1)</t>
  </si>
  <si>
    <t>Actual value</t>
  </si>
  <si>
    <t>T-1 Value</t>
  </si>
  <si>
    <t>Calculation for progress charts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</si>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</sst>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)\ _$_ ;_ * \(#,##0.00\)\ _$_ ;_ * &quot;-&quot;??_)\ _$_ ;_ @_ "/>
    <numFmt numFmtId="165" formatCode="0.0%"/>
    <numFmt numFmtId="166" formatCode="[h]:mm:ss;@"/>
    <numFmt numFmtId="167" formatCode="&quot;$&quot;#,##0"/>
  </numFmts>
  <fonts count="5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 tint="0.249977111117893"/>
      <name val="Arial"/>
      <family val="2"/>
    </font>
    <font>
      <sz val="14"/>
      <color theme="1"/>
      <name val="Calibri"/>
      <family val="2"/>
      <scheme val="minor"/>
    </font>
    <font>
      <b/>
      <sz val="24"/>
      <color theme="1" tint="0.249977111117893"/>
      <name val="Segoe UI"/>
      <family val="2"/>
    </font>
    <font>
      <sz val="11"/>
      <color theme="1" tint="0.249977111117893"/>
      <name val="Segoe UI"/>
      <family val="2"/>
    </font>
    <font>
      <sz val="11"/>
      <color theme="1"/>
      <name val="Segoe UI"/>
      <family val="2"/>
    </font>
    <font>
      <sz val="12"/>
      <color theme="1" tint="0.249977111117893"/>
      <name val="Segoe UI"/>
      <family val="2"/>
    </font>
    <font>
      <b/>
      <sz val="18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FF0000"/>
      <name val="Segoe UI"/>
      <family val="2"/>
    </font>
    <font>
      <sz val="11"/>
      <color theme="1" tint="0.249977111117893"/>
      <name val="Calibri"/>
      <family val="2"/>
      <scheme val="minor"/>
    </font>
    <font>
      <b/>
      <i/>
      <sz val="11"/>
      <color theme="1" tint="0.249977111117893"/>
      <name val="Segoe UI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20"/>
      <color theme="1"/>
      <name val="Segoe UI"/>
      <family val="2"/>
    </font>
    <font>
      <sz val="2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theme="1" tint="0.34998626667073579"/>
      <name val="Segoe UI"/>
      <family val="2"/>
    </font>
    <font>
      <i/>
      <sz val="9"/>
      <color theme="1" tint="0.249977111117893"/>
      <name val="Segoe UI"/>
      <family val="2"/>
    </font>
    <font>
      <b/>
      <sz val="10"/>
      <color theme="1" tint="0.249977111117893"/>
      <name val="Segoe UI"/>
      <family val="2"/>
    </font>
    <font>
      <b/>
      <sz val="9"/>
      <color rgb="FF7F7F7F"/>
      <name val="Segoe UI"/>
      <family val="2"/>
    </font>
    <font>
      <sz val="9"/>
      <color rgb="FF5C6769"/>
      <name val="Segoe UI"/>
      <family val="2"/>
    </font>
    <font>
      <b/>
      <i/>
      <sz val="9"/>
      <color theme="1" tint="0.34998626667073579"/>
      <name val="Segoe UI"/>
      <family val="2"/>
    </font>
    <font>
      <b/>
      <sz val="26"/>
      <color rgb="FF4F83BD"/>
      <name val="Webdings"/>
      <family val="1"/>
      <charset val="2"/>
    </font>
    <font>
      <i/>
      <sz val="10"/>
      <color theme="1" tint="0.34998626667073579"/>
      <name val="Segoe UI"/>
      <family val="2"/>
    </font>
    <font>
      <b/>
      <i/>
      <sz val="10"/>
      <color theme="1" tint="0.34998626667073579"/>
      <name val="Segoe UI"/>
      <family val="2"/>
    </font>
    <font>
      <b/>
      <i/>
      <sz val="10"/>
      <color theme="1" tint="0.249977111117893"/>
      <name val="Segoe UI"/>
      <family val="2"/>
    </font>
    <font>
      <i/>
      <sz val="9"/>
      <color theme="1"/>
      <name val="Calibri"/>
      <family val="2"/>
      <scheme val="minor"/>
    </font>
    <font>
      <b/>
      <i/>
      <sz val="9"/>
      <color theme="1"/>
      <name val="Segoe UI"/>
      <family val="2"/>
    </font>
    <font>
      <b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i/>
      <sz val="10"/>
      <color theme="1" tint="0.499984740745262"/>
      <name val="Segoe UI"/>
      <family val="2"/>
    </font>
    <font>
      <i/>
      <sz val="9"/>
      <color theme="1" tint="0.499984740745262"/>
      <name val="Segoe UI"/>
      <family val="2"/>
    </font>
    <font>
      <sz val="11"/>
      <color theme="0"/>
      <name val="Calibri"/>
      <family val="2"/>
      <scheme val="minor"/>
    </font>
    <font>
      <b/>
      <i/>
      <sz val="10"/>
      <color theme="0"/>
      <name val="Segoe UI"/>
      <family val="2"/>
    </font>
    <font>
      <b/>
      <i/>
      <sz val="10"/>
      <color rgb="FFFF0000"/>
      <name val="Segoe UI"/>
      <family val="2"/>
    </font>
    <font>
      <i/>
      <sz val="9"/>
      <color rgb="FFFF0000"/>
      <name val="Segoe UI"/>
      <family val="2"/>
    </font>
    <font>
      <b/>
      <sz val="20"/>
      <color theme="1" tint="0.499984740745262"/>
      <name val="Berlin Sans FB Demi"/>
      <family val="2"/>
    </font>
    <font>
      <b/>
      <sz val="10"/>
      <color theme="1" tint="0.499984740745262"/>
      <name val="Segoe UI"/>
      <family val="2"/>
    </font>
    <font>
      <sz val="11"/>
      <color theme="1" tint="0.499984740745262"/>
      <name val="Segoe UI"/>
      <family val="2"/>
    </font>
    <font>
      <sz val="11"/>
      <color theme="1" tint="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i/>
      <sz val="9"/>
      <color theme="1" tint="0.249977111117893"/>
      <name val="Segoe UI"/>
      <family val="2"/>
    </font>
    <font>
      <i/>
      <sz val="9"/>
      <color theme="0" tint="-0.34998626667073579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29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medium">
        <color theme="1" tint="0.24994659260841701"/>
      </bottom>
      <diagonal/>
    </border>
    <border>
      <left style="thin">
        <color rgb="FF5C6769"/>
      </left>
      <right style="thin">
        <color rgb="FF5C6769"/>
      </right>
      <top/>
      <bottom/>
      <diagonal/>
    </border>
    <border>
      <left style="thin">
        <color rgb="FF5C6769"/>
      </left>
      <right style="thin">
        <color rgb="FF5C6769"/>
      </right>
      <top/>
      <bottom style="thin">
        <color rgb="FF5C6769"/>
      </bottom>
      <diagonal/>
    </border>
    <border>
      <left/>
      <right/>
      <top/>
      <bottom style="double">
        <color indexed="64"/>
      </bottom>
      <diagonal/>
    </border>
    <border>
      <left style="thin">
        <color theme="0" tint="-0.24994659260841701"/>
      </left>
      <right/>
      <top/>
      <bottom style="medium">
        <color theme="1" tint="0.2499465926084170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mediumDashDot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DashDot">
        <color indexed="64"/>
      </bottom>
      <diagonal/>
    </border>
    <border>
      <left/>
      <right/>
      <top style="thin">
        <color theme="0" tint="-0.24994659260841701"/>
      </top>
      <bottom style="mediumDashDot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mediumDashDot">
        <color indexed="64"/>
      </bottom>
      <diagonal/>
    </border>
    <border>
      <left style="thin">
        <color rgb="FF5C6769"/>
      </left>
      <right style="thin">
        <color rgb="FF5C6769"/>
      </right>
      <top/>
      <bottom style="mediumDashDot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499984740745262"/>
      </top>
      <bottom/>
      <diagonal/>
    </border>
    <border>
      <left style="dashDot">
        <color theme="0" tint="-0.499984740745262"/>
      </left>
      <right style="dashDot">
        <color theme="0" tint="-0.499984740745262"/>
      </right>
      <top/>
      <bottom/>
      <diagonal/>
    </border>
    <border>
      <left style="dashDot">
        <color theme="0" tint="-0.499984740745262"/>
      </left>
      <right style="dashDot">
        <color theme="0" tint="-0.499984740745262"/>
      </right>
      <top/>
      <bottom style="dashDot">
        <color theme="0" tint="-0.499984740745262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7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3" fontId="6" fillId="0" borderId="0" xfId="0" applyNumberFormat="1" applyFont="1" applyBorder="1" applyAlignment="1">
      <alignment horizontal="center" vertical="center"/>
    </xf>
    <xf numFmtId="166" fontId="6" fillId="0" borderId="0" xfId="0" applyNumberFormat="1" applyFont="1" applyBorder="1" applyAlignment="1">
      <alignment horizontal="center" vertical="center"/>
    </xf>
    <xf numFmtId="10" fontId="6" fillId="0" borderId="0" xfId="1" applyNumberFormat="1" applyFont="1" applyBorder="1" applyAlignment="1">
      <alignment horizontal="center" vertical="center"/>
    </xf>
    <xf numFmtId="0" fontId="12" fillId="2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3" fontId="6" fillId="0" borderId="0" xfId="0" applyNumberFormat="1" applyFont="1" applyBorder="1" applyAlignment="1">
      <alignment vertical="center"/>
    </xf>
    <xf numFmtId="165" fontId="6" fillId="0" borderId="0" xfId="1" applyNumberFormat="1" applyFont="1" applyBorder="1" applyAlignment="1">
      <alignment vertical="center"/>
    </xf>
    <xf numFmtId="1" fontId="6" fillId="0" borderId="0" xfId="0" applyNumberFormat="1" applyFont="1" applyBorder="1" applyAlignment="1">
      <alignment vertical="center"/>
    </xf>
    <xf numFmtId="0" fontId="12" fillId="3" borderId="0" xfId="0" applyFont="1" applyFill="1" applyAlignment="1" applyProtection="1">
      <alignment horizontal="left" vertical="center"/>
      <protection hidden="1"/>
    </xf>
    <xf numFmtId="37" fontId="12" fillId="3" borderId="0" xfId="2" applyNumberFormat="1" applyFont="1" applyFill="1" applyAlignment="1" applyProtection="1">
      <alignment vertical="center"/>
      <protection hidden="1"/>
    </xf>
    <xf numFmtId="9" fontId="12" fillId="3" borderId="0" xfId="1" applyFont="1" applyFill="1" applyAlignment="1" applyProtection="1">
      <alignment vertical="center"/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0" xfId="0" applyFont="1" applyFill="1" applyAlignment="1">
      <alignment vertical="center"/>
    </xf>
    <xf numFmtId="165" fontId="13" fillId="3" borderId="0" xfId="0" applyNumberFormat="1" applyFont="1" applyFill="1" applyAlignment="1">
      <alignment horizontal="center" vertical="center"/>
    </xf>
    <xf numFmtId="0" fontId="14" fillId="2" borderId="0" xfId="0" applyFont="1" applyFill="1" applyAlignment="1">
      <alignment vertical="center"/>
    </xf>
    <xf numFmtId="0" fontId="15" fillId="0" borderId="0" xfId="0" applyFont="1" applyAlignment="1">
      <alignment vertical="center"/>
    </xf>
    <xf numFmtId="0" fontId="15" fillId="0" borderId="0" xfId="0" applyFont="1" applyAlignment="1" applyProtection="1">
      <alignment vertical="center"/>
      <protection locked="0"/>
    </xf>
    <xf numFmtId="0" fontId="15" fillId="0" borderId="0" xfId="0" applyFont="1" applyAlignment="1" applyProtection="1">
      <alignment vertical="center"/>
    </xf>
    <xf numFmtId="0" fontId="0" fillId="0" borderId="0" xfId="0" applyFill="1" applyAlignment="1">
      <alignment vertical="center"/>
    </xf>
    <xf numFmtId="0" fontId="0" fillId="0" borderId="8" xfId="0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0" fillId="0" borderId="0" xfId="0" applyFill="1" applyAlignment="1">
      <alignment horizontal="center" vertical="center"/>
    </xf>
    <xf numFmtId="165" fontId="0" fillId="0" borderId="0" xfId="1" applyNumberFormat="1" applyFont="1" applyFill="1" applyAlignment="1">
      <alignment horizontal="center" vertical="center"/>
    </xf>
    <xf numFmtId="0" fontId="17" fillId="0" borderId="0" xfId="4"/>
    <xf numFmtId="0" fontId="0" fillId="2" borderId="0" xfId="0" applyFill="1" applyAlignment="1">
      <alignment horizontal="center" vertical="center"/>
    </xf>
    <xf numFmtId="0" fontId="15" fillId="2" borderId="0" xfId="0" applyFont="1" applyFill="1" applyAlignment="1">
      <alignment vertical="center"/>
    </xf>
    <xf numFmtId="0" fontId="15" fillId="2" borderId="0" xfId="0" applyFont="1" applyFill="1" applyAlignment="1" applyProtection="1">
      <alignment vertical="center"/>
      <protection locked="0"/>
    </xf>
    <xf numFmtId="0" fontId="0" fillId="2" borderId="0" xfId="0" applyFont="1" applyFill="1" applyAlignment="1">
      <alignment vertical="center"/>
    </xf>
    <xf numFmtId="0" fontId="19" fillId="2" borderId="0" xfId="0" applyFont="1" applyFill="1" applyAlignment="1">
      <alignment vertical="center"/>
    </xf>
    <xf numFmtId="0" fontId="20" fillId="2" borderId="0" xfId="0" applyFont="1" applyFill="1" applyAlignment="1">
      <alignment vertical="center"/>
    </xf>
    <xf numFmtId="0" fontId="21" fillId="0" borderId="0" xfId="0" applyFont="1"/>
    <xf numFmtId="0" fontId="22" fillId="3" borderId="1" xfId="3" applyFont="1" applyFill="1" applyBorder="1" applyAlignment="1" applyProtection="1">
      <alignment horizontal="center" vertical="center"/>
      <protection hidden="1"/>
    </xf>
    <xf numFmtId="0" fontId="23" fillId="2" borderId="9" xfId="3" applyFont="1" applyFill="1" applyBorder="1" applyAlignment="1">
      <alignment horizontal="center" vertical="center"/>
    </xf>
    <xf numFmtId="9" fontId="22" fillId="3" borderId="1" xfId="1" applyFont="1" applyFill="1" applyBorder="1" applyAlignment="1" applyProtection="1">
      <alignment horizontal="center" vertical="center"/>
      <protection hidden="1"/>
    </xf>
    <xf numFmtId="9" fontId="0" fillId="0" borderId="0" xfId="1" applyFont="1" applyFill="1" applyAlignment="1">
      <alignment vertical="center"/>
    </xf>
    <xf numFmtId="0" fontId="24" fillId="3" borderId="6" xfId="0" applyFont="1" applyFill="1" applyBorder="1" applyAlignment="1">
      <alignment vertical="center"/>
    </xf>
    <xf numFmtId="165" fontId="25" fillId="3" borderId="0" xfId="3" applyNumberFormat="1" applyFont="1" applyFill="1" applyAlignment="1">
      <alignment horizontal="center" vertical="center"/>
    </xf>
    <xf numFmtId="0" fontId="26" fillId="3" borderId="0" xfId="3" applyFont="1" applyFill="1" applyBorder="1" applyAlignment="1" applyProtection="1">
      <alignment horizontal="center" vertical="center"/>
      <protection hidden="1"/>
    </xf>
    <xf numFmtId="0" fontId="26" fillId="3" borderId="0" xfId="3" applyFont="1" applyFill="1" applyBorder="1" applyAlignment="1" applyProtection="1">
      <alignment horizontal="left" vertical="center"/>
      <protection hidden="1"/>
    </xf>
    <xf numFmtId="0" fontId="26" fillId="3" borderId="0" xfId="3" applyFont="1" applyFill="1" applyBorder="1" applyAlignment="1" applyProtection="1">
      <alignment horizontal="center" vertical="center"/>
    </xf>
    <xf numFmtId="0" fontId="10" fillId="0" borderId="0" xfId="0" applyFont="1" applyFill="1" applyAlignment="1">
      <alignment vertical="center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27" fillId="3" borderId="5" xfId="3" applyFont="1" applyFill="1" applyBorder="1" applyAlignment="1" applyProtection="1">
      <alignment vertical="center"/>
      <protection hidden="1"/>
    </xf>
    <xf numFmtId="0" fontId="28" fillId="0" borderId="0" xfId="0" applyFont="1"/>
    <xf numFmtId="0" fontId="29" fillId="3" borderId="4" xfId="3" applyFont="1" applyFill="1" applyBorder="1" applyAlignment="1" applyProtection="1">
      <alignment horizontal="center" vertical="center"/>
    </xf>
    <xf numFmtId="0" fontId="29" fillId="3" borderId="1" xfId="3" applyFont="1" applyFill="1" applyBorder="1" applyAlignment="1" applyProtection="1">
      <alignment horizontal="center" vertical="center"/>
      <protection hidden="1"/>
    </xf>
    <xf numFmtId="0" fontId="29" fillId="0" borderId="0" xfId="3" applyFont="1" applyFill="1" applyBorder="1" applyAlignment="1" applyProtection="1">
      <alignment horizontal="center" vertical="center"/>
    </xf>
    <xf numFmtId="0" fontId="31" fillId="2" borderId="9" xfId="3" applyFont="1" applyFill="1" applyBorder="1" applyAlignment="1">
      <alignment horizontal="center" vertical="center"/>
    </xf>
    <xf numFmtId="0" fontId="29" fillId="3" borderId="0" xfId="3" applyFont="1" applyFill="1" applyBorder="1" applyAlignment="1" applyProtection="1">
      <alignment horizontal="center" vertical="center"/>
    </xf>
    <xf numFmtId="0" fontId="29" fillId="3" borderId="0" xfId="3" applyFont="1" applyFill="1" applyBorder="1" applyAlignment="1" applyProtection="1">
      <alignment horizontal="center" vertical="center"/>
      <protection hidden="1"/>
    </xf>
    <xf numFmtId="0" fontId="29" fillId="0" borderId="0" xfId="3" applyFont="1" applyFill="1" applyBorder="1" applyAlignment="1" applyProtection="1">
      <alignment horizontal="center" vertical="center" wrapText="1"/>
      <protection hidden="1"/>
    </xf>
    <xf numFmtId="0" fontId="30" fillId="3" borderId="0" xfId="3" applyFont="1" applyFill="1" applyBorder="1" applyAlignment="1" applyProtection="1">
      <alignment horizontal="left" vertical="center"/>
      <protection hidden="1"/>
    </xf>
    <xf numFmtId="1" fontId="32" fillId="0" borderId="0" xfId="0" applyNumberFormat="1" applyFont="1"/>
    <xf numFmtId="0" fontId="32" fillId="0" borderId="0" xfId="0" applyFont="1"/>
    <xf numFmtId="165" fontId="32" fillId="0" borderId="0" xfId="0" applyNumberFormat="1" applyFont="1"/>
    <xf numFmtId="165" fontId="32" fillId="0" borderId="12" xfId="0" applyNumberFormat="1" applyFont="1" applyBorder="1"/>
    <xf numFmtId="165" fontId="32" fillId="0" borderId="0" xfId="1" applyNumberFormat="1" applyFont="1"/>
    <xf numFmtId="165" fontId="32" fillId="0" borderId="12" xfId="1" applyNumberFormat="1" applyFont="1" applyBorder="1"/>
    <xf numFmtId="0" fontId="33" fillId="5" borderId="0" xfId="0" applyFont="1" applyFill="1" applyAlignment="1">
      <alignment horizontal="center"/>
    </xf>
    <xf numFmtId="0" fontId="33" fillId="5" borderId="0" xfId="0" applyFont="1" applyFill="1"/>
    <xf numFmtId="165" fontId="35" fillId="0" borderId="0" xfId="0" applyNumberFormat="1" applyFont="1"/>
    <xf numFmtId="0" fontId="0" fillId="0" borderId="0" xfId="0" applyFill="1" applyBorder="1" applyAlignment="1">
      <alignment vertical="center"/>
    </xf>
    <xf numFmtId="0" fontId="36" fillId="0" borderId="0" xfId="3" applyFont="1" applyFill="1" applyBorder="1" applyAlignment="1">
      <alignment horizontal="center" vertical="center"/>
    </xf>
    <xf numFmtId="9" fontId="37" fillId="0" borderId="0" xfId="3" applyNumberFormat="1" applyFont="1" applyFill="1" applyBorder="1" applyAlignment="1" applyProtection="1">
      <alignment horizontal="center" vertical="center"/>
      <protection hidden="1"/>
    </xf>
    <xf numFmtId="1" fontId="37" fillId="0" borderId="0" xfId="3" applyNumberFormat="1" applyFont="1" applyFill="1" applyBorder="1" applyAlignment="1" applyProtection="1">
      <alignment horizontal="center" vertical="center"/>
      <protection hidden="1"/>
    </xf>
    <xf numFmtId="9" fontId="37" fillId="0" borderId="0" xfId="1" applyFont="1" applyFill="1" applyBorder="1" applyAlignment="1" applyProtection="1">
      <alignment horizontal="center" vertical="center"/>
      <protection hidden="1"/>
    </xf>
    <xf numFmtId="9" fontId="37" fillId="0" borderId="0" xfId="1" applyNumberFormat="1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>
      <alignment vertical="center"/>
    </xf>
    <xf numFmtId="0" fontId="16" fillId="4" borderId="14" xfId="3" applyFont="1" applyFill="1" applyBorder="1" applyAlignment="1">
      <alignment horizontal="center" vertical="center"/>
    </xf>
    <xf numFmtId="0" fontId="38" fillId="0" borderId="0" xfId="0" applyFont="1" applyFill="1" applyAlignment="1">
      <alignment vertical="center"/>
    </xf>
    <xf numFmtId="0" fontId="38" fillId="0" borderId="0" xfId="0" applyFont="1" applyFill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9" fillId="0" borderId="0" xfId="3" applyFont="1" applyFill="1" applyBorder="1" applyAlignment="1">
      <alignment horizontal="center" vertical="center"/>
    </xf>
    <xf numFmtId="0" fontId="31" fillId="2" borderId="13" xfId="3" applyFont="1" applyFill="1" applyBorder="1" applyAlignment="1">
      <alignment horizontal="center" vertical="center"/>
    </xf>
    <xf numFmtId="0" fontId="40" fillId="0" borderId="0" xfId="3" applyFont="1" applyFill="1" applyBorder="1" applyAlignment="1">
      <alignment horizontal="center" vertical="center"/>
    </xf>
    <xf numFmtId="165" fontId="41" fillId="0" borderId="0" xfId="3" applyNumberFormat="1" applyFont="1" applyFill="1" applyBorder="1" applyAlignment="1" applyProtection="1">
      <alignment horizontal="center" vertical="center"/>
      <protection hidden="1"/>
    </xf>
    <xf numFmtId="0" fontId="0" fillId="3" borderId="0" xfId="0" applyFill="1" applyAlignment="1">
      <alignment vertical="center"/>
    </xf>
    <xf numFmtId="165" fontId="32" fillId="0" borderId="0" xfId="0" applyNumberFormat="1" applyFont="1" applyBorder="1"/>
    <xf numFmtId="0" fontId="44" fillId="2" borderId="0" xfId="0" applyFont="1" applyFill="1" applyAlignment="1">
      <alignment vertical="center"/>
    </xf>
    <xf numFmtId="0" fontId="45" fillId="2" borderId="0" xfId="0" applyFont="1" applyFill="1" applyAlignment="1">
      <alignment vertical="center"/>
    </xf>
    <xf numFmtId="0" fontId="47" fillId="0" borderId="0" xfId="0" applyFont="1"/>
    <xf numFmtId="0" fontId="29" fillId="3" borderId="19" xfId="3" applyFont="1" applyFill="1" applyBorder="1" applyAlignment="1" applyProtection="1">
      <alignment horizontal="center" vertical="center"/>
      <protection hidden="1"/>
    </xf>
    <xf numFmtId="9" fontId="23" fillId="3" borderId="1" xfId="3" applyNumberFormat="1" applyFont="1" applyFill="1" applyBorder="1" applyAlignment="1" applyProtection="1">
      <alignment horizontal="center" vertical="center"/>
      <protection hidden="1"/>
    </xf>
    <xf numFmtId="9" fontId="23" fillId="3" borderId="2" xfId="3" applyNumberFormat="1" applyFont="1" applyFill="1" applyBorder="1" applyAlignment="1" applyProtection="1">
      <alignment horizontal="center" vertical="center"/>
      <protection hidden="1"/>
    </xf>
    <xf numFmtId="1" fontId="23" fillId="3" borderId="1" xfId="3" applyNumberFormat="1" applyFont="1" applyFill="1" applyBorder="1" applyAlignment="1" applyProtection="1">
      <alignment horizontal="center" vertical="center"/>
      <protection hidden="1"/>
    </xf>
    <xf numFmtId="1" fontId="48" fillId="3" borderId="1" xfId="3" applyNumberFormat="1" applyFont="1" applyFill="1" applyBorder="1" applyAlignment="1" applyProtection="1">
      <alignment horizontal="center" vertical="center"/>
      <protection hidden="1"/>
    </xf>
    <xf numFmtId="1" fontId="48" fillId="3" borderId="2" xfId="3" applyNumberFormat="1" applyFont="1" applyFill="1" applyBorder="1" applyAlignment="1" applyProtection="1">
      <alignment horizontal="center" vertical="center"/>
      <protection hidden="1"/>
    </xf>
    <xf numFmtId="9" fontId="23" fillId="3" borderId="1" xfId="1" applyFont="1" applyFill="1" applyBorder="1" applyAlignment="1" applyProtection="1">
      <alignment horizontal="center" vertical="center"/>
      <protection hidden="1"/>
    </xf>
    <xf numFmtId="9" fontId="23" fillId="3" borderId="2" xfId="1" applyFont="1" applyFill="1" applyBorder="1" applyAlignment="1" applyProtection="1">
      <alignment horizontal="center" vertical="center"/>
      <protection hidden="1"/>
    </xf>
    <xf numFmtId="9" fontId="23" fillId="3" borderId="1" xfId="1" applyNumberFormat="1" applyFont="1" applyFill="1" applyBorder="1" applyAlignment="1" applyProtection="1">
      <alignment horizontal="center" vertical="center"/>
      <protection hidden="1"/>
    </xf>
    <xf numFmtId="9" fontId="23" fillId="3" borderId="2" xfId="1" applyNumberFormat="1" applyFont="1" applyFill="1" applyBorder="1" applyAlignment="1" applyProtection="1">
      <alignment horizontal="center" vertical="center"/>
      <protection hidden="1"/>
    </xf>
    <xf numFmtId="3" fontId="23" fillId="3" borderId="1" xfId="3" applyNumberFormat="1" applyFont="1" applyFill="1" applyBorder="1" applyAlignment="1" applyProtection="1">
      <alignment horizontal="center" vertical="center"/>
      <protection hidden="1"/>
    </xf>
    <xf numFmtId="3" fontId="23" fillId="3" borderId="2" xfId="3" applyNumberFormat="1" applyFont="1" applyFill="1" applyBorder="1" applyAlignment="1" applyProtection="1">
      <alignment horizontal="center" vertical="center"/>
      <protection hidden="1"/>
    </xf>
    <xf numFmtId="9" fontId="23" fillId="3" borderId="19" xfId="1" applyFont="1" applyFill="1" applyBorder="1" applyAlignment="1" applyProtection="1">
      <alignment horizontal="center" vertical="center"/>
      <protection hidden="1"/>
    </xf>
    <xf numFmtId="9" fontId="23" fillId="3" borderId="15" xfId="1" applyFont="1" applyFill="1" applyBorder="1" applyAlignment="1" applyProtection="1">
      <alignment horizontal="center" vertical="center"/>
      <protection hidden="1"/>
    </xf>
    <xf numFmtId="9" fontId="23" fillId="5" borderId="4" xfId="1" applyNumberFormat="1" applyFont="1" applyFill="1" applyBorder="1" applyAlignment="1" applyProtection="1">
      <alignment horizontal="center" vertical="center"/>
      <protection hidden="1"/>
    </xf>
    <xf numFmtId="9" fontId="23" fillId="5" borderId="16" xfId="1" applyNumberFormat="1" applyFont="1" applyFill="1" applyBorder="1" applyAlignment="1" applyProtection="1">
      <alignment horizontal="center" vertical="center"/>
      <protection hidden="1"/>
    </xf>
    <xf numFmtId="9" fontId="23" fillId="5" borderId="1" xfId="1" applyNumberFormat="1" applyFont="1" applyFill="1" applyBorder="1" applyAlignment="1" applyProtection="1">
      <alignment horizontal="center" vertical="center"/>
      <protection hidden="1"/>
    </xf>
    <xf numFmtId="9" fontId="23" fillId="5" borderId="2" xfId="1" applyNumberFormat="1" applyFont="1" applyFill="1" applyBorder="1" applyAlignment="1" applyProtection="1">
      <alignment horizontal="center" vertical="center"/>
      <protection hidden="1"/>
    </xf>
    <xf numFmtId="9" fontId="23" fillId="5" borderId="19" xfId="1" applyNumberFormat="1" applyFont="1" applyFill="1" applyBorder="1" applyAlignment="1" applyProtection="1">
      <alignment horizontal="center" vertical="center"/>
      <protection hidden="1"/>
    </xf>
    <xf numFmtId="9" fontId="23" fillId="5" borderId="15" xfId="1" applyNumberFormat="1" applyFont="1" applyFill="1" applyBorder="1" applyAlignment="1" applyProtection="1">
      <alignment horizontal="center" vertical="center"/>
      <protection hidden="1"/>
    </xf>
    <xf numFmtId="3" fontId="23" fillId="2" borderId="4" xfId="3" applyNumberFormat="1" applyFont="1" applyFill="1" applyBorder="1" applyAlignment="1" applyProtection="1">
      <alignment horizontal="center" vertical="center"/>
      <protection hidden="1"/>
    </xf>
    <xf numFmtId="3" fontId="23" fillId="2" borderId="16" xfId="3" applyNumberFormat="1" applyFont="1" applyFill="1" applyBorder="1" applyAlignment="1" applyProtection="1">
      <alignment horizontal="center" vertical="center"/>
      <protection hidden="1"/>
    </xf>
    <xf numFmtId="3" fontId="23" fillId="2" borderId="1" xfId="3" applyNumberFormat="1" applyFont="1" applyFill="1" applyBorder="1" applyAlignment="1" applyProtection="1">
      <alignment horizontal="center" vertical="center"/>
      <protection hidden="1"/>
    </xf>
    <xf numFmtId="3" fontId="23" fillId="2" borderId="2" xfId="3" applyNumberFormat="1" applyFont="1" applyFill="1" applyBorder="1" applyAlignment="1" applyProtection="1">
      <alignment horizontal="center" vertical="center"/>
      <protection hidden="1"/>
    </xf>
    <xf numFmtId="165" fontId="23" fillId="0" borderId="0" xfId="3" applyNumberFormat="1" applyFont="1" applyFill="1" applyBorder="1" applyAlignment="1" applyProtection="1">
      <alignment horizontal="center" vertical="center"/>
      <protection hidden="1"/>
    </xf>
    <xf numFmtId="1" fontId="23" fillId="0" borderId="0" xfId="3" applyNumberFormat="1" applyFont="1" applyFill="1" applyBorder="1" applyAlignment="1" applyProtection="1">
      <alignment horizontal="center" vertical="center"/>
      <protection hidden="1"/>
    </xf>
    <xf numFmtId="0" fontId="0" fillId="6" borderId="0" xfId="0" applyFill="1"/>
    <xf numFmtId="0" fontId="46" fillId="5" borderId="0" xfId="0" applyFont="1" applyFill="1" applyAlignment="1">
      <alignment horizontal="center" vertical="center"/>
    </xf>
    <xf numFmtId="0" fontId="0" fillId="0" borderId="0" xfId="0" applyBorder="1"/>
    <xf numFmtId="0" fontId="46" fillId="3" borderId="0" xfId="0" applyFont="1" applyFill="1" applyBorder="1" applyAlignment="1">
      <alignment horizontal="center" vertical="center"/>
    </xf>
    <xf numFmtId="0" fontId="31" fillId="3" borderId="0" xfId="3" applyFont="1" applyFill="1" applyBorder="1" applyAlignment="1">
      <alignment horizontal="center" vertical="center"/>
    </xf>
    <xf numFmtId="165" fontId="35" fillId="0" borderId="0" xfId="0" applyNumberFormat="1" applyFont="1" applyBorder="1"/>
    <xf numFmtId="1" fontId="35" fillId="0" borderId="0" xfId="0" applyNumberFormat="1" applyFont="1"/>
    <xf numFmtId="9" fontId="35" fillId="0" borderId="0" xfId="0" applyNumberFormat="1" applyFont="1"/>
    <xf numFmtId="9" fontId="35" fillId="0" borderId="0" xfId="0" applyNumberFormat="1" applyFont="1" applyBorder="1"/>
    <xf numFmtId="165" fontId="49" fillId="0" borderId="0" xfId="0" applyNumberFormat="1" applyFont="1"/>
    <xf numFmtId="0" fontId="31" fillId="2" borderId="0" xfId="3" applyFont="1" applyFill="1" applyBorder="1" applyAlignment="1">
      <alignment horizontal="center" vertical="center"/>
    </xf>
    <xf numFmtId="0" fontId="27" fillId="5" borderId="2" xfId="3" applyFont="1" applyFill="1" applyBorder="1" applyAlignment="1" applyProtection="1">
      <alignment vertical="center"/>
      <protection hidden="1"/>
    </xf>
    <xf numFmtId="0" fontId="27" fillId="5" borderId="5" xfId="3" applyFont="1" applyFill="1" applyBorder="1" applyAlignment="1" applyProtection="1">
      <alignment vertical="center"/>
      <protection hidden="1"/>
    </xf>
    <xf numFmtId="0" fontId="27" fillId="5" borderId="3" xfId="3" applyFont="1" applyFill="1" applyBorder="1" applyAlignment="1" applyProtection="1">
      <alignment vertical="center"/>
      <protection hidden="1"/>
    </xf>
    <xf numFmtId="9" fontId="35" fillId="4" borderId="23" xfId="0" applyNumberFormat="1" applyFont="1" applyFill="1" applyBorder="1"/>
    <xf numFmtId="9" fontId="35" fillId="0" borderId="24" xfId="0" applyNumberFormat="1" applyFont="1" applyFill="1" applyBorder="1"/>
    <xf numFmtId="9" fontId="35" fillId="0" borderId="25" xfId="0" applyNumberFormat="1" applyFont="1" applyFill="1" applyBorder="1"/>
    <xf numFmtId="0" fontId="31" fillId="4" borderId="0" xfId="3" applyFont="1" applyFill="1" applyBorder="1" applyAlignment="1">
      <alignment horizontal="center" vertical="center"/>
    </xf>
    <xf numFmtId="0" fontId="27" fillId="7" borderId="27" xfId="3" applyFont="1" applyFill="1" applyBorder="1" applyAlignment="1" applyProtection="1">
      <alignment vertical="center"/>
      <protection hidden="1"/>
    </xf>
    <xf numFmtId="0" fontId="27" fillId="0" borderId="28" xfId="3" applyFont="1" applyFill="1" applyBorder="1" applyAlignment="1" applyProtection="1">
      <alignment vertical="center"/>
      <protection hidden="1"/>
    </xf>
    <xf numFmtId="0" fontId="27" fillId="0" borderId="0" xfId="3" applyFont="1" applyFill="1" applyBorder="1" applyAlignment="1" applyProtection="1">
      <alignment vertical="center"/>
      <protection hidden="1"/>
    </xf>
    <xf numFmtId="0" fontId="30" fillId="2" borderId="2" xfId="3" applyFont="1" applyFill="1" applyBorder="1" applyAlignment="1" applyProtection="1">
      <alignment horizontal="left" vertical="center"/>
      <protection hidden="1"/>
    </xf>
    <xf numFmtId="0" fontId="30" fillId="2" borderId="5" xfId="3" applyFont="1" applyFill="1" applyBorder="1" applyAlignment="1" applyProtection="1">
      <alignment horizontal="left" vertical="center"/>
      <protection hidden="1"/>
    </xf>
    <xf numFmtId="0" fontId="30" fillId="2" borderId="3" xfId="3" applyFont="1" applyFill="1" applyBorder="1" applyAlignment="1" applyProtection="1">
      <alignment horizontal="left" vertical="center"/>
      <protection hidden="1"/>
    </xf>
    <xf numFmtId="0" fontId="29" fillId="5" borderId="10" xfId="3" applyFont="1" applyFill="1" applyBorder="1" applyAlignment="1" applyProtection="1">
      <alignment horizontal="center" vertical="center" wrapText="1"/>
      <protection hidden="1"/>
    </xf>
    <xf numFmtId="0" fontId="29" fillId="5" borderId="22" xfId="3" applyFont="1" applyFill="1" applyBorder="1" applyAlignment="1" applyProtection="1">
      <alignment horizontal="center" vertical="center" wrapText="1"/>
      <protection hidden="1"/>
    </xf>
    <xf numFmtId="0" fontId="29" fillId="2" borderId="10" xfId="3" applyFont="1" applyFill="1" applyBorder="1" applyAlignment="1" applyProtection="1">
      <alignment horizontal="center" vertical="center" wrapText="1"/>
      <protection hidden="1"/>
    </xf>
    <xf numFmtId="0" fontId="29" fillId="2" borderId="11" xfId="3" applyFont="1" applyFill="1" applyBorder="1" applyAlignment="1" applyProtection="1">
      <alignment horizontal="center" vertical="center" wrapText="1"/>
      <protection hidden="1"/>
    </xf>
    <xf numFmtId="0" fontId="30" fillId="2" borderId="16" xfId="3" applyFont="1" applyFill="1" applyBorder="1" applyAlignment="1" applyProtection="1">
      <alignment horizontal="left" vertical="center"/>
      <protection hidden="1"/>
    </xf>
    <xf numFmtId="0" fontId="30" fillId="2" borderId="17" xfId="3" applyFont="1" applyFill="1" applyBorder="1" applyAlignment="1" applyProtection="1">
      <alignment horizontal="left" vertical="center"/>
      <protection hidden="1"/>
    </xf>
    <xf numFmtId="0" fontId="30" fillId="2" borderId="18" xfId="3" applyFont="1" applyFill="1" applyBorder="1" applyAlignment="1" applyProtection="1">
      <alignment horizontal="left" vertical="center"/>
      <protection hidden="1"/>
    </xf>
    <xf numFmtId="0" fontId="30" fillId="5" borderId="17" xfId="3" applyFont="1" applyFill="1" applyBorder="1" applyAlignment="1" applyProtection="1">
      <alignment horizontal="left" vertical="center"/>
      <protection hidden="1"/>
    </xf>
    <xf numFmtId="0" fontId="30" fillId="5" borderId="18" xfId="3" applyFont="1" applyFill="1" applyBorder="1" applyAlignment="1" applyProtection="1">
      <alignment horizontal="left" vertical="center"/>
      <protection hidden="1"/>
    </xf>
    <xf numFmtId="0" fontId="30" fillId="5" borderId="5" xfId="3" applyFont="1" applyFill="1" applyBorder="1" applyAlignment="1" applyProtection="1">
      <alignment horizontal="left" vertical="center"/>
      <protection hidden="1"/>
    </xf>
    <xf numFmtId="0" fontId="30" fillId="5" borderId="3" xfId="3" applyFont="1" applyFill="1" applyBorder="1" applyAlignment="1" applyProtection="1">
      <alignment horizontal="left" vertical="center"/>
      <protection hidden="1"/>
    </xf>
    <xf numFmtId="0" fontId="30" fillId="5" borderId="20" xfId="3" applyFont="1" applyFill="1" applyBorder="1" applyAlignment="1" applyProtection="1">
      <alignment horizontal="left" vertical="center"/>
      <protection hidden="1"/>
    </xf>
    <xf numFmtId="0" fontId="30" fillId="5" borderId="21" xfId="3" applyFont="1" applyFill="1" applyBorder="1" applyAlignment="1" applyProtection="1">
      <alignment horizontal="left" vertical="center"/>
      <protection hidden="1"/>
    </xf>
    <xf numFmtId="0" fontId="30" fillId="3" borderId="15" xfId="3" applyFont="1" applyFill="1" applyBorder="1" applyAlignment="1" applyProtection="1">
      <alignment horizontal="left" vertical="center"/>
      <protection hidden="1"/>
    </xf>
    <xf numFmtId="0" fontId="30" fillId="3" borderId="20" xfId="3" applyFont="1" applyFill="1" applyBorder="1" applyAlignment="1" applyProtection="1">
      <alignment horizontal="left" vertical="center"/>
      <protection hidden="1"/>
    </xf>
    <xf numFmtId="0" fontId="30" fillId="3" borderId="21" xfId="3" applyFont="1" applyFill="1" applyBorder="1" applyAlignment="1" applyProtection="1">
      <alignment horizontal="left" vertical="center"/>
      <protection hidden="1"/>
    </xf>
    <xf numFmtId="0" fontId="30" fillId="3" borderId="2" xfId="3" applyFont="1" applyFill="1" applyBorder="1" applyAlignment="1" applyProtection="1">
      <alignment horizontal="left" vertical="center"/>
      <protection hidden="1"/>
    </xf>
    <xf numFmtId="0" fontId="30" fillId="3" borderId="5" xfId="3" applyFont="1" applyFill="1" applyBorder="1" applyAlignment="1" applyProtection="1">
      <alignment horizontal="left" vertical="center"/>
      <protection hidden="1"/>
    </xf>
    <xf numFmtId="0" fontId="30" fillId="3" borderId="3" xfId="3" applyFont="1" applyFill="1" applyBorder="1" applyAlignment="1" applyProtection="1">
      <alignment horizontal="left" vertical="center"/>
      <protection hidden="1"/>
    </xf>
    <xf numFmtId="0" fontId="2" fillId="0" borderId="0" xfId="0" applyFont="1" applyFill="1" applyAlignment="1">
      <alignment horizontal="left" vertical="center"/>
    </xf>
    <xf numFmtId="0" fontId="30" fillId="3" borderId="1" xfId="3" applyFont="1" applyFill="1" applyBorder="1" applyAlignment="1" applyProtection="1">
      <alignment horizontal="left" vertical="center"/>
      <protection hidden="1"/>
    </xf>
    <xf numFmtId="0" fontId="5" fillId="0" borderId="8" xfId="0" applyFont="1" applyFill="1" applyBorder="1" applyAlignment="1">
      <alignment horizontal="left" vertical="center"/>
    </xf>
    <xf numFmtId="0" fontId="31" fillId="2" borderId="9" xfId="3" applyFont="1" applyFill="1" applyBorder="1" applyAlignment="1">
      <alignment horizontal="left" vertical="center"/>
    </xf>
    <xf numFmtId="0" fontId="27" fillId="7" borderId="27" xfId="3" applyFont="1" applyFill="1" applyBorder="1" applyAlignment="1" applyProtection="1">
      <alignment horizontal="left" vertical="center"/>
      <protection hidden="1"/>
    </xf>
    <xf numFmtId="0" fontId="27" fillId="7" borderId="28" xfId="3" applyFont="1" applyFill="1" applyBorder="1" applyAlignment="1" applyProtection="1">
      <alignment horizontal="left" vertical="center"/>
      <protection hidden="1"/>
    </xf>
    <xf numFmtId="0" fontId="48" fillId="7" borderId="16" xfId="3" applyFont="1" applyFill="1" applyBorder="1" applyAlignment="1">
      <alignment horizontal="left" vertical="center"/>
    </xf>
    <xf numFmtId="0" fontId="48" fillId="7" borderId="17" xfId="3" applyFont="1" applyFill="1" applyBorder="1" applyAlignment="1">
      <alignment horizontal="left" vertical="center"/>
    </xf>
    <xf numFmtId="0" fontId="30" fillId="2" borderId="1" xfId="3" applyFont="1" applyFill="1" applyBorder="1" applyAlignment="1" applyProtection="1">
      <alignment horizontal="left" vertical="center"/>
      <protection hidden="1"/>
    </xf>
    <xf numFmtId="0" fontId="30" fillId="5" borderId="1" xfId="3" applyFont="1" applyFill="1" applyBorder="1" applyAlignment="1" applyProtection="1">
      <alignment horizontal="left" vertical="center"/>
      <protection hidden="1"/>
    </xf>
    <xf numFmtId="0" fontId="27" fillId="5" borderId="26" xfId="3" applyFont="1" applyFill="1" applyBorder="1" applyAlignment="1" applyProtection="1">
      <alignment horizontal="left" vertical="center"/>
      <protection hidden="1"/>
    </xf>
    <xf numFmtId="0" fontId="27" fillId="5" borderId="0" xfId="3" applyFont="1" applyFill="1" applyBorder="1" applyAlignment="1" applyProtection="1">
      <alignment horizontal="left" vertical="center"/>
      <protection hidden="1"/>
    </xf>
    <xf numFmtId="0" fontId="10" fillId="2" borderId="0" xfId="0" applyFont="1" applyFill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9" fontId="7" fillId="0" borderId="0" xfId="0" applyNumberFormat="1" applyFont="1" applyAlignment="1">
      <alignment horizontal="center" vertical="top"/>
    </xf>
    <xf numFmtId="10" fontId="9" fillId="0" borderId="0" xfId="1" applyNumberFormat="1" applyFont="1" applyBorder="1" applyAlignment="1">
      <alignment horizontal="center" vertical="top"/>
    </xf>
    <xf numFmtId="9" fontId="9" fillId="0" borderId="0" xfId="0" applyNumberFormat="1" applyFont="1" applyAlignment="1">
      <alignment horizontal="center" vertical="top"/>
    </xf>
    <xf numFmtId="0" fontId="9" fillId="0" borderId="0" xfId="0" applyFont="1" applyAlignment="1">
      <alignment horizontal="center" vertical="top"/>
    </xf>
    <xf numFmtId="0" fontId="43" fillId="3" borderId="6" xfId="0" applyFont="1" applyFill="1" applyBorder="1" applyAlignment="1">
      <alignment horizontal="center" vertical="center"/>
    </xf>
    <xf numFmtId="9" fontId="42" fillId="0" borderId="0" xfId="1" applyNumberFormat="1" applyFont="1" applyBorder="1" applyAlignment="1">
      <alignment horizontal="center" vertical="center"/>
    </xf>
    <xf numFmtId="167" fontId="42" fillId="0" borderId="0" xfId="0" applyNumberFormat="1" applyFont="1" applyBorder="1" applyAlignment="1">
      <alignment horizontal="center" vertical="center"/>
    </xf>
    <xf numFmtId="9" fontId="42" fillId="0" borderId="7" xfId="1" applyFont="1" applyBorder="1" applyAlignment="1">
      <alignment horizontal="center" vertical="center"/>
    </xf>
    <xf numFmtId="9" fontId="42" fillId="0" borderId="0" xfId="1" applyFont="1" applyBorder="1" applyAlignment="1">
      <alignment horizontal="center" vertical="center"/>
    </xf>
    <xf numFmtId="1" fontId="42" fillId="0" borderId="7" xfId="1" applyNumberFormat="1" applyFont="1" applyBorder="1" applyAlignment="1">
      <alignment horizontal="center" vertical="center"/>
    </xf>
    <xf numFmtId="1" fontId="42" fillId="0" borderId="0" xfId="1" applyNumberFormat="1" applyFont="1" applyBorder="1" applyAlignment="1">
      <alignment horizontal="center" vertical="center"/>
    </xf>
    <xf numFmtId="0" fontId="27" fillId="3" borderId="0" xfId="3" applyFont="1" applyFill="1" applyBorder="1" applyAlignment="1" applyProtection="1">
      <alignment horizontal="left" vertical="center"/>
      <protection hidden="1"/>
    </xf>
    <xf numFmtId="0" fontId="27" fillId="3" borderId="12" xfId="3" applyFont="1" applyFill="1" applyBorder="1" applyAlignment="1" applyProtection="1">
      <alignment horizontal="left" vertical="center"/>
      <protection hidden="1"/>
    </xf>
    <xf numFmtId="0" fontId="29" fillId="0" borderId="0" xfId="3" applyFont="1" applyFill="1" applyBorder="1" applyAlignment="1" applyProtection="1">
      <alignment horizontal="center" vertical="center" wrapText="1"/>
      <protection hidden="1"/>
    </xf>
    <xf numFmtId="0" fontId="34" fillId="0" borderId="0" xfId="0" applyFont="1" applyAlignment="1">
      <alignment horizontal="center" wrapText="1"/>
    </xf>
  </cellXfs>
  <cellStyles count="5">
    <cellStyle name="Comma" xfId="2" builtinId="3"/>
    <cellStyle name="Explanatory Text" xfId="3" builtinId="53"/>
    <cellStyle name="Hyperlink" xfId="4" builtinId="8"/>
    <cellStyle name="Normal" xfId="0" builtinId="0"/>
    <cellStyle name="Percent" xfId="1" builtinId="5"/>
  </cellStyles>
  <dxfs count="57">
    <dxf>
      <font>
        <b/>
        <i/>
        <color rgb="FF01B1A3"/>
      </font>
    </dxf>
    <dxf>
      <font>
        <b/>
        <i/>
        <color rgb="FFFB5A56"/>
      </font>
    </dxf>
    <dxf>
      <font>
        <b/>
        <i/>
        <color rgb="FF01B1A3"/>
      </font>
    </dxf>
    <dxf>
      <font>
        <b/>
        <i/>
        <color rgb="FFFB5A56"/>
      </font>
    </dxf>
    <dxf>
      <font>
        <b/>
        <i/>
        <color rgb="FF01B1A3"/>
      </font>
    </dxf>
    <dxf>
      <font>
        <b/>
        <i/>
        <color rgb="FFFB5A56"/>
      </font>
    </dxf>
    <dxf>
      <font>
        <b/>
        <i/>
        <color rgb="FF01B1A3"/>
      </font>
    </dxf>
    <dxf>
      <font>
        <b/>
        <i/>
        <color rgb="FFFB5A56"/>
      </font>
    </dxf>
    <dxf>
      <font>
        <b/>
        <i/>
        <color rgb="FF01B1A3"/>
      </font>
    </dxf>
    <dxf>
      <font>
        <b/>
        <i/>
        <color rgb="FFFB5A56"/>
      </font>
    </dxf>
    <dxf>
      <font>
        <b/>
        <i/>
        <color rgb="FF01B1A3"/>
      </font>
    </dxf>
    <dxf>
      <font>
        <b/>
        <i/>
        <color rgb="FFFB5A56"/>
      </font>
    </dxf>
    <dxf>
      <font>
        <b/>
        <i/>
        <color rgb="FF01B1A3"/>
      </font>
    </dxf>
    <dxf>
      <font>
        <b/>
        <i/>
        <color rgb="FFFB5A56"/>
      </font>
    </dxf>
    <dxf>
      <font>
        <b/>
        <i/>
        <color rgb="FF01B1A3"/>
      </font>
    </dxf>
    <dxf>
      <font>
        <b/>
        <i/>
        <color rgb="FFFB5A56"/>
      </font>
    </dxf>
    <dxf>
      <font>
        <b/>
        <i/>
        <color rgb="FF01B1A3"/>
      </font>
    </dxf>
    <dxf>
      <font>
        <b/>
        <i/>
        <color rgb="FFFB5A56"/>
      </font>
    </dxf>
    <dxf>
      <font>
        <color rgb="FFFB5A56"/>
      </font>
    </dxf>
    <dxf>
      <font>
        <color rgb="FF01B1A3"/>
      </font>
    </dxf>
    <dxf>
      <font>
        <b/>
        <i/>
        <color theme="1" tint="0.499984740745262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b/>
        <i/>
        <color rgb="FF01B1A3"/>
      </font>
    </dxf>
    <dxf>
      <font>
        <b/>
        <i/>
        <color rgb="FFFB5A56"/>
      </font>
    </dxf>
    <dxf>
      <font>
        <b/>
        <i/>
        <color rgb="FF5C6769"/>
      </font>
    </dxf>
    <dxf>
      <font>
        <b/>
        <i/>
        <color rgb="FF01B1A3"/>
      </font>
    </dxf>
    <dxf>
      <font>
        <b/>
        <i/>
        <color rgb="FFFB5A56"/>
      </font>
    </dxf>
    <dxf>
      <font>
        <b/>
        <i/>
        <color rgb="FF5C6769"/>
      </font>
    </dxf>
    <dxf>
      <font>
        <b/>
        <i/>
        <color rgb="FF01B1A3"/>
      </font>
    </dxf>
    <dxf>
      <font>
        <b/>
        <i/>
        <color rgb="FFFB5A56"/>
      </font>
    </dxf>
    <dxf>
      <font>
        <b/>
        <i/>
        <color rgb="FF5C6769"/>
      </font>
    </dxf>
    <dxf>
      <font>
        <b/>
        <i/>
        <color rgb="FF01B1A3"/>
      </font>
    </dxf>
    <dxf>
      <font>
        <b/>
        <i/>
        <color rgb="FFFB5A56"/>
      </font>
    </dxf>
    <dxf>
      <font>
        <b/>
        <i/>
        <color rgb="FF5C6769"/>
      </font>
    </dxf>
    <dxf>
      <font>
        <b/>
        <i/>
        <color rgb="FF01B1A3"/>
      </font>
    </dxf>
    <dxf>
      <font>
        <b/>
        <i/>
        <color rgb="FFFB5A56"/>
      </font>
    </dxf>
    <dxf>
      <font>
        <b/>
        <i/>
        <color rgb="FF5C6769"/>
      </font>
    </dxf>
    <dxf>
      <font>
        <b/>
        <i/>
        <color rgb="FF01B1A3"/>
      </font>
    </dxf>
    <dxf>
      <font>
        <b/>
        <i/>
        <color rgb="FFFB5A56"/>
      </font>
    </dxf>
    <dxf>
      <font>
        <b/>
        <i/>
        <color rgb="FF5C6769"/>
      </font>
    </dxf>
    <dxf>
      <font>
        <b/>
        <i/>
        <color rgb="FFFB5A56"/>
      </font>
    </dxf>
    <dxf>
      <font>
        <b/>
        <i/>
        <color rgb="FF01B1A3"/>
      </font>
    </dxf>
    <dxf>
      <font>
        <b/>
        <i/>
        <color rgb="FF5C6769"/>
      </font>
    </dxf>
    <dxf>
      <font>
        <color rgb="FFFB5A56"/>
      </font>
    </dxf>
    <dxf>
      <font>
        <color rgb="FF01B1A3"/>
      </font>
    </dxf>
    <dxf>
      <font>
        <b/>
        <i/>
        <color theme="1" tint="0.499984740745262"/>
      </font>
    </dxf>
    <dxf>
      <font>
        <color rgb="FFFB5A56"/>
      </font>
    </dxf>
    <dxf>
      <font>
        <color rgb="FF01B1A3"/>
      </font>
    </dxf>
    <dxf>
      <font>
        <b/>
        <i/>
        <color theme="1" tint="0.499984740745262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66CC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5C6769"/>
      <color rgb="FF4F83BD"/>
      <color rgb="FFFB5A56"/>
      <color rgb="FF01B1A3"/>
      <color rgb="FF5D90AF"/>
      <color rgb="FF499AC3"/>
      <color rgb="FF435361"/>
      <color rgb="FFE2E2E2"/>
      <color rgb="FFF4EFFF"/>
      <color rgb="FFE7D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1"/>
          <c:order val="0"/>
          <c:spPr>
            <a:ln w="25400">
              <a:solidFill>
                <a:srgbClr val="4F83BD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val>
            <c:numRef>
              <c:f>Data!$F$6:$Q$6</c:f>
              <c:numCache>
                <c:formatCode>0%</c:formatCode>
                <c:ptCount val="12"/>
                <c:pt idx="0">
                  <c:v>0.08</c:v>
                </c:pt>
                <c:pt idx="1">
                  <c:v>0.09</c:v>
                </c:pt>
                <c:pt idx="2">
                  <c:v>0.11</c:v>
                </c:pt>
                <c:pt idx="3">
                  <c:v>7.5499999999999998E-2</c:v>
                </c:pt>
                <c:pt idx="4">
                  <c:v>4.9799999999999997E-2</c:v>
                </c:pt>
                <c:pt idx="5">
                  <c:v>0.12</c:v>
                </c:pt>
                <c:pt idx="6">
                  <c:v>0.13</c:v>
                </c:pt>
                <c:pt idx="7">
                  <c:v>4.99E-2</c:v>
                </c:pt>
                <c:pt idx="8">
                  <c:v>7.0000000000000007E-2</c:v>
                </c:pt>
                <c:pt idx="9">
                  <c:v>8.5500000000000007E-2</c:v>
                </c:pt>
                <c:pt idx="10">
                  <c:v>0.12</c:v>
                </c:pt>
                <c:pt idx="11">
                  <c:v>0.17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1BD-439E-B39D-9EB695AFF8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55680"/>
        <c:axId val="564188064"/>
      </c:lineChart>
      <c:catAx>
        <c:axId val="457655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564188064"/>
        <c:crosses val="autoZero"/>
        <c:auto val="1"/>
        <c:lblAlgn val="ctr"/>
        <c:lblOffset val="100"/>
        <c:noMultiLvlLbl val="0"/>
      </c:catAx>
      <c:valAx>
        <c:axId val="564188064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457655680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0"/>
          <c:order val="0"/>
          <c:spPr>
            <a:ln w="25400" cap="rnd">
              <a:solidFill>
                <a:srgbClr val="4F83BD"/>
              </a:solidFill>
              <a:round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val>
            <c:numRef>
              <c:f>Data!$F$7:$Q$7</c:f>
              <c:numCache>
                <c:formatCode>0</c:formatCode>
                <c:ptCount val="12"/>
                <c:pt idx="0">
                  <c:v>1530</c:v>
                </c:pt>
                <c:pt idx="1">
                  <c:v>1413</c:v>
                </c:pt>
                <c:pt idx="2">
                  <c:v>1052</c:v>
                </c:pt>
                <c:pt idx="3">
                  <c:v>1405</c:v>
                </c:pt>
                <c:pt idx="4">
                  <c:v>1207</c:v>
                </c:pt>
                <c:pt idx="5">
                  <c:v>1180</c:v>
                </c:pt>
                <c:pt idx="6">
                  <c:v>1349</c:v>
                </c:pt>
                <c:pt idx="7">
                  <c:v>1288</c:v>
                </c:pt>
                <c:pt idx="8">
                  <c:v>1545</c:v>
                </c:pt>
                <c:pt idx="9">
                  <c:v>1336</c:v>
                </c:pt>
                <c:pt idx="10">
                  <c:v>1000</c:v>
                </c:pt>
                <c:pt idx="11">
                  <c:v>1400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7BA-4ADC-B15B-CA1D36721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55680"/>
        <c:axId val="564188064"/>
      </c:lineChart>
      <c:catAx>
        <c:axId val="457655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564188064"/>
        <c:crosses val="autoZero"/>
        <c:auto val="1"/>
        <c:lblAlgn val="ctr"/>
        <c:lblOffset val="100"/>
        <c:noMultiLvlLbl val="0"/>
      </c:catAx>
      <c:valAx>
        <c:axId val="5641880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5765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0"/>
          <c:order val="0"/>
          <c:spPr>
            <a:ln w="25400" cap="rnd">
              <a:solidFill>
                <a:srgbClr val="4F83BD"/>
              </a:solidFill>
              <a:round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val>
            <c:numRef>
              <c:f>Data!$F$8:$Q$8</c:f>
              <c:numCache>
                <c:formatCode>0%</c:formatCode>
                <c:ptCount val="12"/>
                <c:pt idx="0">
                  <c:v>0.56000000000000005</c:v>
                </c:pt>
                <c:pt idx="1">
                  <c:v>0.57999999999999996</c:v>
                </c:pt>
                <c:pt idx="2">
                  <c:v>0.41</c:v>
                </c:pt>
                <c:pt idx="3">
                  <c:v>0.84</c:v>
                </c:pt>
                <c:pt idx="4">
                  <c:v>0.74</c:v>
                </c:pt>
                <c:pt idx="5">
                  <c:v>0.77</c:v>
                </c:pt>
                <c:pt idx="6">
                  <c:v>0.71</c:v>
                </c:pt>
                <c:pt idx="7">
                  <c:v>0.79</c:v>
                </c:pt>
                <c:pt idx="8">
                  <c:v>0.31</c:v>
                </c:pt>
                <c:pt idx="9">
                  <c:v>0.43</c:v>
                </c:pt>
                <c:pt idx="10">
                  <c:v>0.68</c:v>
                </c:pt>
                <c:pt idx="11">
                  <c:v>0.38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1F4-4337-B531-AD606AE64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55680"/>
        <c:axId val="564188064"/>
      </c:lineChart>
      <c:catAx>
        <c:axId val="457655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564188064"/>
        <c:crosses val="autoZero"/>
        <c:auto val="1"/>
        <c:lblAlgn val="ctr"/>
        <c:lblOffset val="100"/>
        <c:noMultiLvlLbl val="0"/>
      </c:catAx>
      <c:valAx>
        <c:axId val="564188064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45765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0"/>
          <c:order val="0"/>
          <c:spPr>
            <a:ln w="25400" cap="rnd">
              <a:solidFill>
                <a:srgbClr val="4F83BD"/>
              </a:solidFill>
              <a:round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val>
            <c:numRef>
              <c:f>Data!$F$9:$Q$9</c:f>
              <c:numCache>
                <c:formatCode>0%</c:formatCode>
                <c:ptCount val="12"/>
                <c:pt idx="0">
                  <c:v>0.76</c:v>
                </c:pt>
                <c:pt idx="1">
                  <c:v>0.7</c:v>
                </c:pt>
                <c:pt idx="2">
                  <c:v>0.64</c:v>
                </c:pt>
                <c:pt idx="3">
                  <c:v>0.68</c:v>
                </c:pt>
                <c:pt idx="4">
                  <c:v>0.69</c:v>
                </c:pt>
                <c:pt idx="5">
                  <c:v>0.74</c:v>
                </c:pt>
                <c:pt idx="6">
                  <c:v>0.85</c:v>
                </c:pt>
                <c:pt idx="7">
                  <c:v>0.8</c:v>
                </c:pt>
                <c:pt idx="8">
                  <c:v>0.84</c:v>
                </c:pt>
                <c:pt idx="9">
                  <c:v>0.74</c:v>
                </c:pt>
                <c:pt idx="10">
                  <c:v>0.65</c:v>
                </c:pt>
                <c:pt idx="11">
                  <c:v>0.8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4BF-4EDF-9914-49A0279D7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55680"/>
        <c:axId val="564188064"/>
      </c:lineChart>
      <c:catAx>
        <c:axId val="457655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564188064"/>
        <c:crosses val="autoZero"/>
        <c:auto val="1"/>
        <c:lblAlgn val="ctr"/>
        <c:lblOffset val="100"/>
        <c:noMultiLvlLbl val="0"/>
      </c:catAx>
      <c:valAx>
        <c:axId val="564188064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45765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0"/>
          <c:order val="0"/>
          <c:spPr>
            <a:ln w="25400" cap="rnd">
              <a:solidFill>
                <a:srgbClr val="4F83BD"/>
              </a:solidFill>
              <a:round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val>
            <c:numRef>
              <c:f>Data!$F$10:$Q$10</c:f>
              <c:numCache>
                <c:formatCode>0%</c:formatCode>
                <c:ptCount val="12"/>
                <c:pt idx="0">
                  <c:v>0.78</c:v>
                </c:pt>
                <c:pt idx="1">
                  <c:v>0.74</c:v>
                </c:pt>
                <c:pt idx="2">
                  <c:v>0.8</c:v>
                </c:pt>
                <c:pt idx="3">
                  <c:v>0.93</c:v>
                </c:pt>
                <c:pt idx="4">
                  <c:v>0.85</c:v>
                </c:pt>
                <c:pt idx="5">
                  <c:v>0.94</c:v>
                </c:pt>
                <c:pt idx="6">
                  <c:v>0.9</c:v>
                </c:pt>
                <c:pt idx="7">
                  <c:v>0.71</c:v>
                </c:pt>
                <c:pt idx="8">
                  <c:v>0.92</c:v>
                </c:pt>
                <c:pt idx="9">
                  <c:v>0.87</c:v>
                </c:pt>
                <c:pt idx="10">
                  <c:v>0.73</c:v>
                </c:pt>
                <c:pt idx="11">
                  <c:v>0.9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D83-41F4-AE5F-892ECE753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55680"/>
        <c:axId val="564188064"/>
      </c:lineChart>
      <c:catAx>
        <c:axId val="457655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564188064"/>
        <c:crosses val="autoZero"/>
        <c:auto val="1"/>
        <c:lblAlgn val="ctr"/>
        <c:lblOffset val="100"/>
        <c:noMultiLvlLbl val="0"/>
      </c:catAx>
      <c:valAx>
        <c:axId val="564188064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45765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0"/>
          <c:order val="0"/>
          <c:spPr>
            <a:ln w="25400" cap="rnd">
              <a:solidFill>
                <a:srgbClr val="4F83BD"/>
              </a:solidFill>
              <a:round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val>
            <c:numRef>
              <c:f>Data!$F$15:$Q$15</c:f>
              <c:numCache>
                <c:formatCode>0%</c:formatCode>
                <c:ptCount val="12"/>
                <c:pt idx="0">
                  <c:v>0.15</c:v>
                </c:pt>
                <c:pt idx="1">
                  <c:v>0.12</c:v>
                </c:pt>
                <c:pt idx="2">
                  <c:v>0.08</c:v>
                </c:pt>
                <c:pt idx="3">
                  <c:v>0.09</c:v>
                </c:pt>
                <c:pt idx="4">
                  <c:v>0.1</c:v>
                </c:pt>
                <c:pt idx="5">
                  <c:v>0.05</c:v>
                </c:pt>
                <c:pt idx="6">
                  <c:v>0.11</c:v>
                </c:pt>
                <c:pt idx="7">
                  <c:v>0.08</c:v>
                </c:pt>
                <c:pt idx="8">
                  <c:v>0.09</c:v>
                </c:pt>
                <c:pt idx="9">
                  <c:v>0.12</c:v>
                </c:pt>
                <c:pt idx="10">
                  <c:v>0.18</c:v>
                </c:pt>
                <c:pt idx="11">
                  <c:v>0.25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779-482C-9A72-14BC1E022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55680"/>
        <c:axId val="564188064"/>
      </c:lineChart>
      <c:catAx>
        <c:axId val="457655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564188064"/>
        <c:crosses val="autoZero"/>
        <c:auto val="1"/>
        <c:lblAlgn val="ctr"/>
        <c:lblOffset val="100"/>
        <c:noMultiLvlLbl val="0"/>
      </c:catAx>
      <c:valAx>
        <c:axId val="564188064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45765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1"/>
          <c:order val="0"/>
          <c:spPr>
            <a:ln w="25400">
              <a:solidFill>
                <a:srgbClr val="4F83BD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val>
            <c:numRef>
              <c:f>Data!$F$14:$Q$14</c:f>
              <c:numCache>
                <c:formatCode>0%</c:formatCode>
                <c:ptCount val="12"/>
                <c:pt idx="0">
                  <c:v>0.42109999999999997</c:v>
                </c:pt>
                <c:pt idx="1">
                  <c:v>0.23669999999999999</c:v>
                </c:pt>
                <c:pt idx="2">
                  <c:v>0.55759999999999998</c:v>
                </c:pt>
                <c:pt idx="3">
                  <c:v>0.61119999999999997</c:v>
                </c:pt>
                <c:pt idx="4">
                  <c:v>0.78769999999999996</c:v>
                </c:pt>
                <c:pt idx="5">
                  <c:v>0.38719999999999999</c:v>
                </c:pt>
                <c:pt idx="6">
                  <c:v>0.46379999999999999</c:v>
                </c:pt>
                <c:pt idx="7">
                  <c:v>0.44</c:v>
                </c:pt>
                <c:pt idx="8">
                  <c:v>0.52</c:v>
                </c:pt>
                <c:pt idx="9">
                  <c:v>0.46</c:v>
                </c:pt>
                <c:pt idx="10">
                  <c:v>0.71</c:v>
                </c:pt>
                <c:pt idx="11">
                  <c:v>0.53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5E2-44B9-AD37-60BC705F5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55680"/>
        <c:axId val="564188064"/>
      </c:lineChart>
      <c:catAx>
        <c:axId val="457655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564188064"/>
        <c:crosses val="autoZero"/>
        <c:auto val="1"/>
        <c:lblAlgn val="ctr"/>
        <c:lblOffset val="100"/>
        <c:noMultiLvlLbl val="0"/>
      </c:catAx>
      <c:valAx>
        <c:axId val="564188064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457655680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7434345226642"/>
          <c:y val="0.26518312907247538"/>
          <c:w val="0.82704402515723274"/>
          <c:h val="0.69372215101019341"/>
        </c:manualLayout>
      </c:layout>
      <c:lineChart>
        <c:grouping val="standard"/>
        <c:varyColors val="0"/>
        <c:ser>
          <c:idx val="1"/>
          <c:order val="0"/>
          <c:spPr>
            <a:ln w="25400">
              <a:solidFill>
                <a:srgbClr val="4F83BD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val>
            <c:numRef>
              <c:f>Data!$F$12:$Q$12</c:f>
              <c:numCache>
                <c:formatCode>0%</c:formatCode>
                <c:ptCount val="12"/>
                <c:pt idx="0">
                  <c:v>5.0583657587548639E-2</c:v>
                </c:pt>
                <c:pt idx="1">
                  <c:v>7.0000000000000007E-2</c:v>
                </c:pt>
                <c:pt idx="2">
                  <c:v>0.08</c:v>
                </c:pt>
                <c:pt idx="3">
                  <c:v>4.687122493355883E-2</c:v>
                </c:pt>
                <c:pt idx="4">
                  <c:v>0.11934349355216882</c:v>
                </c:pt>
                <c:pt idx="5">
                  <c:v>8.4789796882380725E-2</c:v>
                </c:pt>
                <c:pt idx="6">
                  <c:v>0.09</c:v>
                </c:pt>
                <c:pt idx="7">
                  <c:v>0.13053712818317997</c:v>
                </c:pt>
                <c:pt idx="8">
                  <c:v>0.10812553740326741</c:v>
                </c:pt>
                <c:pt idx="9">
                  <c:v>7.5921375921375919E-2</c:v>
                </c:pt>
                <c:pt idx="10">
                  <c:v>0.11</c:v>
                </c:pt>
                <c:pt idx="11">
                  <c:v>0.13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B03-49D8-8B27-14CF377F0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55680"/>
        <c:axId val="564188064"/>
      </c:lineChart>
      <c:catAx>
        <c:axId val="457655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564188064"/>
        <c:crosses val="autoZero"/>
        <c:auto val="1"/>
        <c:lblAlgn val="ctr"/>
        <c:lblOffset val="100"/>
        <c:noMultiLvlLbl val="0"/>
      </c:catAx>
      <c:valAx>
        <c:axId val="564188064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457655680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05927002663E-2"/>
          <c:y val="7.7149880957685268E-2"/>
          <c:w val="0.82704402515723274"/>
          <c:h val="0.86594033742539267"/>
        </c:manualLayout>
      </c:layout>
      <c:lineChart>
        <c:grouping val="standard"/>
        <c:varyColors val="0"/>
        <c:ser>
          <c:idx val="1"/>
          <c:order val="0"/>
          <c:spPr>
            <a:ln w="25400">
              <a:solidFill>
                <a:srgbClr val="4F83BD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val>
            <c:numRef>
              <c:f>Data!$F$13:$Q$13</c:f>
              <c:numCache>
                <c:formatCode>#,##0</c:formatCode>
                <c:ptCount val="12"/>
                <c:pt idx="0">
                  <c:v>10</c:v>
                </c:pt>
                <c:pt idx="1">
                  <c:v>14</c:v>
                </c:pt>
                <c:pt idx="2">
                  <c:v>6</c:v>
                </c:pt>
                <c:pt idx="3">
                  <c:v>3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8</c:v>
                </c:pt>
                <c:pt idx="10">
                  <c:v>10</c:v>
                </c:pt>
                <c:pt idx="11">
                  <c:v>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7F7-431D-8552-E19B371B4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55680"/>
        <c:axId val="564188064"/>
      </c:lineChart>
      <c:catAx>
        <c:axId val="457655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564188064"/>
        <c:crosses val="autoZero"/>
        <c:auto val="1"/>
        <c:lblAlgn val="ctr"/>
        <c:lblOffset val="100"/>
        <c:noMultiLvlLbl val="0"/>
      </c:catAx>
      <c:valAx>
        <c:axId val="56418806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57655680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1"/>
          <c:order val="0"/>
          <c:spPr>
            <a:ln w="25400">
              <a:solidFill>
                <a:srgbClr val="4F83BD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val>
            <c:numRef>
              <c:f>Data!$F$11:$Q$11</c:f>
              <c:numCache>
                <c:formatCode>0%</c:formatCode>
                <c:ptCount val="12"/>
                <c:pt idx="0">
                  <c:v>0.45</c:v>
                </c:pt>
                <c:pt idx="1">
                  <c:v>0.87</c:v>
                </c:pt>
                <c:pt idx="2">
                  <c:v>0.64</c:v>
                </c:pt>
                <c:pt idx="3">
                  <c:v>0.25</c:v>
                </c:pt>
                <c:pt idx="4">
                  <c:v>0.33</c:v>
                </c:pt>
                <c:pt idx="5">
                  <c:v>0.49</c:v>
                </c:pt>
                <c:pt idx="6">
                  <c:v>0.68</c:v>
                </c:pt>
                <c:pt idx="7">
                  <c:v>0.38</c:v>
                </c:pt>
                <c:pt idx="8">
                  <c:v>0.42</c:v>
                </c:pt>
                <c:pt idx="9">
                  <c:v>0.52</c:v>
                </c:pt>
                <c:pt idx="10">
                  <c:v>0.61</c:v>
                </c:pt>
                <c:pt idx="11">
                  <c:v>0.72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5C4-47B2-82EE-50BBE901A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55680"/>
        <c:axId val="564188064"/>
      </c:lineChart>
      <c:catAx>
        <c:axId val="457655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564188064"/>
        <c:crosses val="autoZero"/>
        <c:auto val="1"/>
        <c:lblAlgn val="ctr"/>
        <c:lblOffset val="100"/>
        <c:noMultiLvlLbl val="0"/>
      </c:catAx>
      <c:valAx>
        <c:axId val="564188064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457655680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spPr>
            <a:ln>
              <a:noFill/>
            </a:ln>
          </c:spPr>
          <c:dPt>
            <c:idx val="0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D-42FA-41F8-B5CD-F7F39B125895}"/>
              </c:ext>
            </c:extLst>
          </c:dPt>
          <c:dPt>
            <c:idx val="1"/>
            <c:bubble3D val="0"/>
            <c:spPr>
              <a:solidFill>
                <a:srgbClr val="5C6769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42FA-41F8-B5CD-F7F39B125895}"/>
              </c:ext>
            </c:extLst>
          </c:dPt>
          <c:val>
            <c:numRef>
              <c:f>Calculation!$E$26:$E$27</c:f>
              <c:numCache>
                <c:formatCode>0%</c:formatCode>
                <c:ptCount val="2"/>
                <c:pt idx="0">
                  <c:v>0.16</c:v>
                </c:pt>
                <c:pt idx="1">
                  <c:v>0.84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2FA-41F8-B5CD-F7F39B125895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rgbClr val="4F83BD"/>
              </a:solidFill>
              <a:ln w="19050">
                <a:noFill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42FA-41F8-B5CD-F7F39B125895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42FA-41F8-B5CD-F7F39B125895}"/>
              </c:ext>
            </c:extLst>
          </c:dPt>
          <c:val>
            <c:numRef>
              <c:f>Calculation!$E$26:$E$27</c:f>
              <c:numCache>
                <c:formatCode>0%</c:formatCode>
                <c:ptCount val="2"/>
                <c:pt idx="0">
                  <c:v>0.16</c:v>
                </c:pt>
                <c:pt idx="1">
                  <c:v>0.84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2FA-41F8-B5CD-F7F39B1258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7"/>
      </c:doughnut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dPt>
            <c:idx val="0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D-296B-469B-B408-70CB3AC26CB5}"/>
              </c:ext>
            </c:extLst>
          </c:dPt>
          <c:dPt>
            <c:idx val="1"/>
            <c:bubble3D val="0"/>
            <c:spPr>
              <a:solidFill>
                <a:srgbClr val="5C6769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296B-469B-B408-70CB3AC26CB5}"/>
              </c:ext>
            </c:extLst>
          </c:dPt>
          <c:val>
            <c:numRef>
              <c:f>Calculation!$K$26:$K$27</c:f>
              <c:numCache>
                <c:formatCode>0%</c:formatCode>
                <c:ptCount val="2"/>
                <c:pt idx="0">
                  <c:v>0.61129999999999995</c:v>
                </c:pt>
                <c:pt idx="1">
                  <c:v>0.38870000000000005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96B-469B-B408-70CB3AC26CB5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296B-469B-B408-70CB3AC26CB5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296B-469B-B408-70CB3AC26CB5}"/>
              </c:ext>
            </c:extLst>
          </c:dPt>
          <c:val>
            <c:numRef>
              <c:f>Calculation!$K$26:$K$27</c:f>
              <c:numCache>
                <c:formatCode>0%</c:formatCode>
                <c:ptCount val="2"/>
                <c:pt idx="0">
                  <c:v>0.61129999999999995</c:v>
                </c:pt>
                <c:pt idx="1">
                  <c:v>0.38870000000000005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96B-469B-B408-70CB3AC26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7"/>
      </c:doughnut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spPr>
            <a:ln>
              <a:noFill/>
            </a:ln>
          </c:spPr>
          <c:dPt>
            <c:idx val="0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D-5A8F-4F61-9D0D-8277B14ADF98}"/>
              </c:ext>
            </c:extLst>
          </c:dPt>
          <c:dPt>
            <c:idx val="1"/>
            <c:bubble3D val="0"/>
            <c:spPr>
              <a:solidFill>
                <a:srgbClr val="5C6769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5A8F-4F61-9D0D-8277B14ADF98}"/>
              </c:ext>
            </c:extLst>
          </c:dPt>
          <c:val>
            <c:numRef>
              <c:f>Calculation!$Q$26:$Q$27</c:f>
              <c:numCache>
                <c:formatCode>0%</c:formatCode>
                <c:ptCount val="2"/>
                <c:pt idx="0">
                  <c:v>0.9</c:v>
                </c:pt>
                <c:pt idx="1">
                  <c:v>9.9999999999999978E-2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A8F-4F61-9D0D-8277B14ADF98}"/>
            </c:ext>
          </c:extLst>
        </c:ser>
        <c:ser>
          <c:idx val="0"/>
          <c:order val="1"/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5A8F-4F61-9D0D-8277B14ADF98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5A8F-4F61-9D0D-8277B14ADF98}"/>
              </c:ext>
            </c:extLst>
          </c:dPt>
          <c:val>
            <c:numRef>
              <c:f>Calculation!$Q$26:$Q$27</c:f>
              <c:numCache>
                <c:formatCode>0%</c:formatCode>
                <c:ptCount val="2"/>
                <c:pt idx="0">
                  <c:v>0.9</c:v>
                </c:pt>
                <c:pt idx="1">
                  <c:v>9.9999999999999978E-2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A8F-4F61-9D0D-8277B14AD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7"/>
      </c:doughnut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E3C-487A-8EB1-DC180271DB62}"/>
              </c:ext>
            </c:extLst>
          </c:dPt>
          <c:dPt>
            <c:idx val="1"/>
            <c:bubble3D val="0"/>
            <c:spPr>
              <a:solidFill>
                <a:srgbClr val="5C6769"/>
              </a:solidFill>
              <a:ln w="19050">
                <a:noFill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E3C-487A-8EB1-DC180271DB62}"/>
              </c:ext>
            </c:extLst>
          </c:dPt>
          <c:val>
            <c:numRef>
              <c:f>Calculation!$T$26:$T$27</c:f>
              <c:numCache>
                <c:formatCode>#,##0</c:formatCode>
                <c:ptCount val="2"/>
                <c:pt idx="0">
                  <c:v>20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E3C-487A-8EB1-DC180271DB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1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9-E991-4559-B5CE-37A77E29DE4F}"/>
              </c:ext>
            </c:extLst>
          </c:dPt>
          <c:val>
            <c:numRef>
              <c:f>calc!$D$24:$E$24</c:f>
              <c:numCache>
                <c:formatCode>0%</c:formatCode>
                <c:ptCount val="2"/>
                <c:pt idx="0">
                  <c:v>0.16</c:v>
                </c:pt>
                <c:pt idx="1">
                  <c:v>0.84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991-4559-B5CE-37A77E29DE4F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E991-4559-B5CE-37A77E29DE4F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E991-4559-B5CE-37A77E29DE4F}"/>
              </c:ext>
            </c:extLst>
          </c:dPt>
          <c:val>
            <c:numRef>
              <c:f>calc!$D$24:$E$24</c:f>
              <c:numCache>
                <c:formatCode>0%</c:formatCode>
                <c:ptCount val="2"/>
                <c:pt idx="0">
                  <c:v>0.16</c:v>
                </c:pt>
                <c:pt idx="1">
                  <c:v>0.84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91-4559-B5CE-37A77E29DE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image" Target="../media/image3.emf"/><Relationship Id="rId18" Type="http://schemas.openxmlformats.org/officeDocument/2006/relationships/image" Target="../media/image8.emf"/><Relationship Id="rId26" Type="http://schemas.openxmlformats.org/officeDocument/2006/relationships/image" Target="../media/image16.svg"/><Relationship Id="rId3" Type="http://schemas.openxmlformats.org/officeDocument/2006/relationships/chart" Target="../charts/chart3.xml"/><Relationship Id="rId21" Type="http://schemas.openxmlformats.org/officeDocument/2006/relationships/chart" Target="../charts/chart11.xml"/><Relationship Id="rId7" Type="http://schemas.openxmlformats.org/officeDocument/2006/relationships/chart" Target="../charts/chart7.xml"/><Relationship Id="rId12" Type="http://schemas.openxmlformats.org/officeDocument/2006/relationships/image" Target="../media/image2.emf"/><Relationship Id="rId17" Type="http://schemas.openxmlformats.org/officeDocument/2006/relationships/image" Target="../media/image7.emf"/><Relationship Id="rId25" Type="http://schemas.openxmlformats.org/officeDocument/2006/relationships/image" Target="../media/image15.png"/><Relationship Id="rId2" Type="http://schemas.openxmlformats.org/officeDocument/2006/relationships/chart" Target="../charts/chart2.xml"/><Relationship Id="rId16" Type="http://schemas.openxmlformats.org/officeDocument/2006/relationships/image" Target="../media/image6.emf"/><Relationship Id="rId20" Type="http://schemas.openxmlformats.org/officeDocument/2006/relationships/image" Target="../media/image10.emf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image" Target="../media/image1.emf"/><Relationship Id="rId24" Type="http://schemas.openxmlformats.org/officeDocument/2006/relationships/chart" Target="../charts/chart14.xml"/><Relationship Id="rId5" Type="http://schemas.openxmlformats.org/officeDocument/2006/relationships/chart" Target="../charts/chart5.xml"/><Relationship Id="rId15" Type="http://schemas.openxmlformats.org/officeDocument/2006/relationships/image" Target="../media/image5.emf"/><Relationship Id="rId23" Type="http://schemas.openxmlformats.org/officeDocument/2006/relationships/chart" Target="../charts/chart13.xml"/><Relationship Id="rId28" Type="http://schemas.openxmlformats.org/officeDocument/2006/relationships/image" Target="../media/image18.svg"/><Relationship Id="rId10" Type="http://schemas.openxmlformats.org/officeDocument/2006/relationships/chart" Target="../charts/chart10.xml"/><Relationship Id="rId19" Type="http://schemas.openxmlformats.org/officeDocument/2006/relationships/image" Target="../media/image9.emf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4.emf"/><Relationship Id="rId22" Type="http://schemas.openxmlformats.org/officeDocument/2006/relationships/chart" Target="../charts/chart12.xml"/><Relationship Id="rId27" Type="http://schemas.openxmlformats.org/officeDocument/2006/relationships/image" Target="../media/image1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svg"/><Relationship Id="rId1" Type="http://schemas.openxmlformats.org/officeDocument/2006/relationships/image" Target="../media/image11.png"/><Relationship Id="rId4" Type="http://schemas.openxmlformats.org/officeDocument/2006/relationships/image" Target="../media/image14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image" Target="../media/image21.emf"/><Relationship Id="rId7" Type="http://schemas.openxmlformats.org/officeDocument/2006/relationships/image" Target="../media/image25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10" Type="http://schemas.openxmlformats.org/officeDocument/2006/relationships/image" Target="../media/image28.emf"/><Relationship Id="rId4" Type="http://schemas.openxmlformats.org/officeDocument/2006/relationships/image" Target="../media/image22.emf"/><Relationship Id="rId9" Type="http://schemas.openxmlformats.org/officeDocument/2006/relationships/image" Target="../media/image2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22860</xdr:colOff>
      <xdr:row>11</xdr:row>
      <xdr:rowOff>198120</xdr:rowOff>
    </xdr:from>
    <xdr:to>
      <xdr:col>12</xdr:col>
      <xdr:colOff>144780</xdr:colOff>
      <xdr:row>12</xdr:row>
      <xdr:rowOff>197994</xdr:rowOff>
    </xdr:to>
    <xdr:sp macro="" textlink="">
      <xdr:nvSpPr>
        <xdr:cNvPr id="3412" name="Option Button 340" hidden="1">
          <a:extLst>
            <a:ext uri="{63B3BB69-23CF-44E3-9099-C40C66FF867C}">
              <a14:compatExt xmlns:a14="http://schemas.microsoft.com/office/drawing/2010/main" spid="_x0000_s3412"/>
            </a:ext>
            <a:ext uri="{FF2B5EF4-FFF2-40B4-BE49-F238E27FC236}">
              <a16:creationId xmlns:a16="http://schemas.microsoft.com/office/drawing/2014/main" id="{00000000-0008-0000-0300-00005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fr-CA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Total Salary</a:t>
          </a:r>
        </a:p>
      </xdr:txBody>
    </xdr:sp>
    <xdr:clientData fLocksWithSheet="0"/>
  </xdr:twoCellAnchor>
  <xdr:twoCellAnchor editAs="oneCell">
    <xdr:from>
      <xdr:col>16</xdr:col>
      <xdr:colOff>220980</xdr:colOff>
      <xdr:row>17</xdr:row>
      <xdr:rowOff>190500</xdr:rowOff>
    </xdr:from>
    <xdr:to>
      <xdr:col>19</xdr:col>
      <xdr:colOff>195082</xdr:colOff>
      <xdr:row>18</xdr:row>
      <xdr:rowOff>207300</xdr:rowOff>
    </xdr:to>
    <xdr:sp macro="" textlink="">
      <xdr:nvSpPr>
        <xdr:cNvPr id="3413" name="Option Button 341" hidden="1">
          <a:extLst>
            <a:ext uri="{63B3BB69-23CF-44E3-9099-C40C66FF867C}">
              <a14:compatExt xmlns:a14="http://schemas.microsoft.com/office/drawing/2010/main" spid="_x0000_s3413"/>
            </a:ext>
            <a:ext uri="{FF2B5EF4-FFF2-40B4-BE49-F238E27FC236}">
              <a16:creationId xmlns:a16="http://schemas.microsoft.com/office/drawing/2014/main" id="{00000000-0008-0000-0300-00005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fr-CA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Average Salary</a:t>
          </a:r>
        </a:p>
      </xdr:txBody>
    </xdr:sp>
    <xdr:clientData fLocksWithSheet="0"/>
  </xdr:twoCellAnchor>
  <xdr:twoCellAnchor editAs="oneCell">
    <xdr:from>
      <xdr:col>11</xdr:col>
      <xdr:colOff>38100</xdr:colOff>
      <xdr:row>11</xdr:row>
      <xdr:rowOff>330200</xdr:rowOff>
    </xdr:from>
    <xdr:to>
      <xdr:col>12</xdr:col>
      <xdr:colOff>241300</xdr:colOff>
      <xdr:row>12</xdr:row>
      <xdr:rowOff>159259</xdr:rowOff>
    </xdr:to>
    <xdr:sp macro="" textlink="">
      <xdr:nvSpPr>
        <xdr:cNvPr id="10" name="Option Button 340" hidden="1">
          <a:extLst>
            <a:ext uri="{63B3BB69-23CF-44E3-9099-C40C66FF867C}">
              <a14:compatExt xmlns:a14="http://schemas.microsoft.com/office/drawing/2010/main" spid="_x0000_s3412"/>
            </a:ex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0" bIns="18288" anchor="ctr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 pitchFamily="2" charset="0"/>
              <a:ea typeface="Tahoma" pitchFamily="2" charset="0"/>
              <a:cs typeface="Tahoma" pitchFamily="2" charset="0"/>
            </a:rPr>
            <a:t>Total Salary</a:t>
          </a:r>
        </a:p>
      </xdr:txBody>
    </xdr:sp>
    <xdr:clientData fLocksWithSheet="0"/>
  </xdr:twoCellAnchor>
  <xdr:twoCellAnchor editAs="oneCell">
    <xdr:from>
      <xdr:col>16</xdr:col>
      <xdr:colOff>368300</xdr:colOff>
      <xdr:row>17</xdr:row>
      <xdr:rowOff>317500</xdr:rowOff>
    </xdr:from>
    <xdr:to>
      <xdr:col>19</xdr:col>
      <xdr:colOff>389968</xdr:colOff>
      <xdr:row>18</xdr:row>
      <xdr:rowOff>159040</xdr:rowOff>
    </xdr:to>
    <xdr:sp macro="" textlink="">
      <xdr:nvSpPr>
        <xdr:cNvPr id="12" name="Option Button 341" hidden="1">
          <a:extLst>
            <a:ext uri="{63B3BB69-23CF-44E3-9099-C40C66FF867C}">
              <a14:compatExt xmlns:a14="http://schemas.microsoft.com/office/drawing/2010/main" spid="_x0000_s3413"/>
            </a:ex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0" bIns="18288" anchor="ctr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 pitchFamily="2" charset="0"/>
              <a:ea typeface="Tahoma" pitchFamily="2" charset="0"/>
              <a:cs typeface="Tahoma" pitchFamily="2" charset="0"/>
            </a:rPr>
            <a:t>Average Salary</a:t>
          </a:r>
        </a:p>
      </xdr:txBody>
    </xdr:sp>
    <xdr:clientData fLocksWithSheet="0"/>
  </xdr:twoCellAnchor>
  <xdr:twoCellAnchor editAs="oneCell">
    <xdr:from>
      <xdr:col>11</xdr:col>
      <xdr:colOff>28575</xdr:colOff>
      <xdr:row>11</xdr:row>
      <xdr:rowOff>247650</xdr:rowOff>
    </xdr:from>
    <xdr:to>
      <xdr:col>12</xdr:col>
      <xdr:colOff>180975</xdr:colOff>
      <xdr:row>12</xdr:row>
      <xdr:rowOff>175134</xdr:rowOff>
    </xdr:to>
    <xdr:sp macro="" textlink="">
      <xdr:nvSpPr>
        <xdr:cNvPr id="14" name="Option Button 340" hidden="1">
          <a:extLst>
            <a:ext uri="{63B3BB69-23CF-44E3-9099-C40C66FF867C}">
              <a14:compatExt xmlns:a14="http://schemas.microsoft.com/office/drawing/2010/main" spid="_x0000_s3412"/>
            </a:ex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Total Salary</a:t>
          </a:r>
        </a:p>
      </xdr:txBody>
    </xdr:sp>
    <xdr:clientData fLocksWithSheet="0"/>
  </xdr:twoCellAnchor>
  <xdr:twoCellAnchor editAs="oneCell">
    <xdr:from>
      <xdr:col>16</xdr:col>
      <xdr:colOff>276225</xdr:colOff>
      <xdr:row>17</xdr:row>
      <xdr:rowOff>238125</xdr:rowOff>
    </xdr:from>
    <xdr:to>
      <xdr:col>19</xdr:col>
      <xdr:colOff>319964</xdr:colOff>
      <xdr:row>18</xdr:row>
      <xdr:rowOff>184440</xdr:rowOff>
    </xdr:to>
    <xdr:sp macro="" textlink="">
      <xdr:nvSpPr>
        <xdr:cNvPr id="16" name="Option Button 341" hidden="1">
          <a:extLst>
            <a:ext uri="{63B3BB69-23CF-44E3-9099-C40C66FF867C}">
              <a14:compatExt xmlns:a14="http://schemas.microsoft.com/office/drawing/2010/main" spid="_x0000_s3413"/>
            </a:ex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Average Salary</a:t>
          </a:r>
        </a:p>
      </xdr:txBody>
    </xdr:sp>
    <xdr:clientData fLocksWithSheet="0"/>
  </xdr:twoCellAnchor>
  <xdr:twoCellAnchor editAs="oneCell">
    <xdr:from>
      <xdr:col>11</xdr:col>
      <xdr:colOff>38100</xdr:colOff>
      <xdr:row>11</xdr:row>
      <xdr:rowOff>330200</xdr:rowOff>
    </xdr:from>
    <xdr:to>
      <xdr:col>12</xdr:col>
      <xdr:colOff>241300</xdr:colOff>
      <xdr:row>12</xdr:row>
      <xdr:rowOff>159259</xdr:rowOff>
    </xdr:to>
    <xdr:sp macro="" textlink="">
      <xdr:nvSpPr>
        <xdr:cNvPr id="22" name="Option Button 340" hidden="1">
          <a:extLst>
            <a:ext uri="{63B3BB69-23CF-44E3-9099-C40C66FF867C}">
              <a14:compatExt xmlns:a14="http://schemas.microsoft.com/office/drawing/2010/main" spid="_x0000_s3412"/>
            </a:ex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0" bIns="18288" anchor="ctr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 pitchFamily="2" charset="0"/>
              <a:ea typeface="Tahoma" pitchFamily="2" charset="0"/>
              <a:cs typeface="Tahoma" pitchFamily="2" charset="0"/>
            </a:rPr>
            <a:t>Total Salary</a:t>
          </a:r>
        </a:p>
      </xdr:txBody>
    </xdr:sp>
    <xdr:clientData fLocksWithSheet="0"/>
  </xdr:twoCellAnchor>
  <xdr:twoCellAnchor editAs="oneCell">
    <xdr:from>
      <xdr:col>16</xdr:col>
      <xdr:colOff>368300</xdr:colOff>
      <xdr:row>17</xdr:row>
      <xdr:rowOff>317500</xdr:rowOff>
    </xdr:from>
    <xdr:to>
      <xdr:col>19</xdr:col>
      <xdr:colOff>389968</xdr:colOff>
      <xdr:row>18</xdr:row>
      <xdr:rowOff>159040</xdr:rowOff>
    </xdr:to>
    <xdr:sp macro="" textlink="">
      <xdr:nvSpPr>
        <xdr:cNvPr id="23" name="Option Button 341" hidden="1">
          <a:extLst>
            <a:ext uri="{63B3BB69-23CF-44E3-9099-C40C66FF867C}">
              <a14:compatExt xmlns:a14="http://schemas.microsoft.com/office/drawing/2010/main" spid="_x0000_s3413"/>
            </a:ex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0" bIns="18288" anchor="ctr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 pitchFamily="2" charset="0"/>
              <a:ea typeface="Tahoma" pitchFamily="2" charset="0"/>
              <a:cs typeface="Tahoma" pitchFamily="2" charset="0"/>
            </a:rPr>
            <a:t>Average Salary</a:t>
          </a:r>
        </a:p>
      </xdr:txBody>
    </xdr:sp>
    <xdr:clientData fLocksWithSheet="0"/>
  </xdr:twoCellAnchor>
  <xdr:oneCellAnchor>
    <xdr:from>
      <xdr:col>13</xdr:col>
      <xdr:colOff>361950</xdr:colOff>
      <xdr:row>17</xdr:row>
      <xdr:rowOff>66675</xdr:rowOff>
    </xdr:from>
    <xdr:ext cx="216534" cy="264560"/>
    <xdr:sp macro="" textlink="#REF!">
      <xdr:nvSpPr>
        <xdr:cNvPr id="20" name="ZoneTexte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 txBox="1"/>
      </xdr:nvSpPr>
      <xdr:spPr>
        <a:xfrm>
          <a:off x="9020175" y="3505200"/>
          <a:ext cx="21653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fld id="{FCF3E905-51DD-4752-AD0A-AB91B2C2BDB2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/>
            <a:t> </a:t>
          </a:fld>
          <a:endParaRPr lang="fr-CA" sz="1100"/>
        </a:p>
      </xdr:txBody>
    </xdr:sp>
    <xdr:clientData/>
  </xdr:oneCellAnchor>
  <xdr:oneCellAnchor>
    <xdr:from>
      <xdr:col>1</xdr:col>
      <xdr:colOff>38100</xdr:colOff>
      <xdr:row>22</xdr:row>
      <xdr:rowOff>47625</xdr:rowOff>
    </xdr:from>
    <xdr:ext cx="2066925" cy="264560"/>
    <xdr:sp macro="" textlink="#REF!">
      <xdr:nvSpPr>
        <xdr:cNvPr id="57" name="ZoneTexte 10">
          <a:extLst>
            <a:ext uri="{FF2B5EF4-FFF2-40B4-BE49-F238E27FC236}">
              <a16:creationId xmlns:a16="http://schemas.microsoft.com/office/drawing/2014/main" id="{79BB65E7-6527-4FAF-9E09-16BCD5E9A625}"/>
            </a:ext>
          </a:extLst>
        </xdr:cNvPr>
        <xdr:cNvSpPr txBox="1"/>
      </xdr:nvSpPr>
      <xdr:spPr>
        <a:xfrm>
          <a:off x="904009" y="1866034"/>
          <a:ext cx="20669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C8F41151-4AEF-4387-B888-B4A4522F141F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Calibri"/>
              <a:cs typeface="Calibri"/>
            </a:rPr>
            <a:pPr algn="ctr"/>
            <a:t> </a:t>
          </a:fld>
          <a:endParaRPr lang="fr-CA" sz="10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xdr:twoCellAnchor>
    <xdr:from>
      <xdr:col>1</xdr:col>
      <xdr:colOff>81643</xdr:colOff>
      <xdr:row>8</xdr:row>
      <xdr:rowOff>155640</xdr:rowOff>
    </xdr:from>
    <xdr:to>
      <xdr:col>3</xdr:col>
      <xdr:colOff>61232</xdr:colOff>
      <xdr:row>9</xdr:row>
      <xdr:rowOff>276868</xdr:rowOff>
    </xdr:to>
    <xdr:graphicFrame macro="">
      <xdr:nvGraphicFramePr>
        <xdr:cNvPr id="66" name="TinyChart1">
          <a:extLst>
            <a:ext uri="{FF2B5EF4-FFF2-40B4-BE49-F238E27FC236}">
              <a16:creationId xmlns:a16="http://schemas.microsoft.com/office/drawing/2014/main" id="{63E59DA8-836E-4546-A6F8-4B3557B7A8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113109</xdr:colOff>
      <xdr:row>8</xdr:row>
      <xdr:rowOff>214312</xdr:rowOff>
    </xdr:from>
    <xdr:to>
      <xdr:col>7</xdr:col>
      <xdr:colOff>523875</xdr:colOff>
      <xdr:row>10</xdr:row>
      <xdr:rowOff>71437</xdr:rowOff>
    </xdr:to>
    <xdr:graphicFrame macro="">
      <xdr:nvGraphicFramePr>
        <xdr:cNvPr id="68" name="TinyChart2">
          <a:extLst>
            <a:ext uri="{FF2B5EF4-FFF2-40B4-BE49-F238E27FC236}">
              <a16:creationId xmlns:a16="http://schemas.microsoft.com/office/drawing/2014/main" id="{8694A26E-7044-458F-934C-B100A5A657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65484</xdr:colOff>
      <xdr:row>8</xdr:row>
      <xdr:rowOff>154781</xdr:rowOff>
    </xdr:from>
    <xdr:to>
      <xdr:col>13</xdr:col>
      <xdr:colOff>172641</xdr:colOff>
      <xdr:row>10</xdr:row>
      <xdr:rowOff>65522</xdr:rowOff>
    </xdr:to>
    <xdr:graphicFrame macro="">
      <xdr:nvGraphicFramePr>
        <xdr:cNvPr id="69" name="TinyChart3">
          <a:extLst>
            <a:ext uri="{FF2B5EF4-FFF2-40B4-BE49-F238E27FC236}">
              <a16:creationId xmlns:a16="http://schemas.microsoft.com/office/drawing/2014/main" id="{FD068C84-A5A7-4D8B-BB47-A7586F2722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106305</xdr:colOff>
      <xdr:row>8</xdr:row>
      <xdr:rowOff>171884</xdr:rowOff>
    </xdr:from>
    <xdr:to>
      <xdr:col>17</xdr:col>
      <xdr:colOff>160733</xdr:colOff>
      <xdr:row>10</xdr:row>
      <xdr:rowOff>85895</xdr:rowOff>
    </xdr:to>
    <xdr:graphicFrame macro="">
      <xdr:nvGraphicFramePr>
        <xdr:cNvPr id="70" name="TinyChart4">
          <a:extLst>
            <a:ext uri="{FF2B5EF4-FFF2-40B4-BE49-F238E27FC236}">
              <a16:creationId xmlns:a16="http://schemas.microsoft.com/office/drawing/2014/main" id="{AC8D3CCA-8AC3-4882-8391-11FB59E74A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93550</xdr:colOff>
      <xdr:row>8</xdr:row>
      <xdr:rowOff>239471</xdr:rowOff>
    </xdr:from>
    <xdr:to>
      <xdr:col>20</xdr:col>
      <xdr:colOff>685461</xdr:colOff>
      <xdr:row>10</xdr:row>
      <xdr:rowOff>105456</xdr:rowOff>
    </xdr:to>
    <xdr:graphicFrame macro="">
      <xdr:nvGraphicFramePr>
        <xdr:cNvPr id="73" name="TinyChart5">
          <a:extLst>
            <a:ext uri="{FF2B5EF4-FFF2-40B4-BE49-F238E27FC236}">
              <a16:creationId xmlns:a16="http://schemas.microsoft.com/office/drawing/2014/main" id="{FEFAAABE-9E57-4259-B02A-56BBDD652A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59532</xdr:colOff>
      <xdr:row>14</xdr:row>
      <xdr:rowOff>81900</xdr:rowOff>
    </xdr:from>
    <xdr:to>
      <xdr:col>20</xdr:col>
      <xdr:colOff>712675</xdr:colOff>
      <xdr:row>15</xdr:row>
      <xdr:rowOff>205112</xdr:rowOff>
    </xdr:to>
    <xdr:graphicFrame macro="">
      <xdr:nvGraphicFramePr>
        <xdr:cNvPr id="61" name="TinyChart6">
          <a:extLst>
            <a:ext uri="{FF2B5EF4-FFF2-40B4-BE49-F238E27FC236}">
              <a16:creationId xmlns:a16="http://schemas.microsoft.com/office/drawing/2014/main" id="{3B10D90B-0D4F-44E9-87C4-3D600DBB3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130968</xdr:colOff>
      <xdr:row>14</xdr:row>
      <xdr:rowOff>101202</xdr:rowOff>
    </xdr:from>
    <xdr:to>
      <xdr:col>17</xdr:col>
      <xdr:colOff>90997</xdr:colOff>
      <xdr:row>16</xdr:row>
      <xdr:rowOff>107157</xdr:rowOff>
    </xdr:to>
    <xdr:graphicFrame macro="">
      <xdr:nvGraphicFramePr>
        <xdr:cNvPr id="71" name="TinyChart8">
          <a:extLst>
            <a:ext uri="{FF2B5EF4-FFF2-40B4-BE49-F238E27FC236}">
              <a16:creationId xmlns:a16="http://schemas.microsoft.com/office/drawing/2014/main" id="{43750ACF-6381-4D27-9D58-02192F291C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79941</xdr:colOff>
      <xdr:row>13</xdr:row>
      <xdr:rowOff>94579</xdr:rowOff>
    </xdr:from>
    <xdr:to>
      <xdr:col>7</xdr:col>
      <xdr:colOff>460941</xdr:colOff>
      <xdr:row>15</xdr:row>
      <xdr:rowOff>226219</xdr:rowOff>
    </xdr:to>
    <xdr:graphicFrame macro="">
      <xdr:nvGraphicFramePr>
        <xdr:cNvPr id="78" name="TinyChart11">
          <a:extLst>
            <a:ext uri="{FF2B5EF4-FFF2-40B4-BE49-F238E27FC236}">
              <a16:creationId xmlns:a16="http://schemas.microsoft.com/office/drawing/2014/main" id="{BB4AED76-5494-4F52-BEB6-7A536E0F92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168388</xdr:colOff>
      <xdr:row>14</xdr:row>
      <xdr:rowOff>8520</xdr:rowOff>
    </xdr:from>
    <xdr:to>
      <xdr:col>13</xdr:col>
      <xdr:colOff>73137</xdr:colOff>
      <xdr:row>15</xdr:row>
      <xdr:rowOff>223665</xdr:rowOff>
    </xdr:to>
    <xdr:graphicFrame macro="">
      <xdr:nvGraphicFramePr>
        <xdr:cNvPr id="79" name="TinyChart12">
          <a:extLst>
            <a:ext uri="{FF2B5EF4-FFF2-40B4-BE49-F238E27FC236}">
              <a16:creationId xmlns:a16="http://schemas.microsoft.com/office/drawing/2014/main" id="{05695A45-E8C0-44CF-A5A9-50AFDB8CE3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144295</xdr:colOff>
      <xdr:row>3</xdr:row>
      <xdr:rowOff>265046</xdr:rowOff>
    </xdr:from>
    <xdr:to>
      <xdr:col>13</xdr:col>
      <xdr:colOff>58459</xdr:colOff>
      <xdr:row>4</xdr:row>
      <xdr:rowOff>303858</xdr:rowOff>
    </xdr:to>
    <xdr:sp macro="" textlink="calc!#REF!">
      <xdr:nvSpPr>
        <xdr:cNvPr id="82" name="TextBox 1">
          <a:extLst>
            <a:ext uri="{FF2B5EF4-FFF2-40B4-BE49-F238E27FC236}">
              <a16:creationId xmlns:a16="http://schemas.microsoft.com/office/drawing/2014/main" id="{579EF0CA-543E-405C-BA18-5BD55A3DA9D3}"/>
            </a:ext>
          </a:extLst>
        </xdr:cNvPr>
        <xdr:cNvSpPr txBox="1"/>
      </xdr:nvSpPr>
      <xdr:spPr>
        <a:xfrm>
          <a:off x="5158399" y="1181603"/>
          <a:ext cx="1297985" cy="344330"/>
        </a:xfrm>
        <a:prstGeom prst="rect">
          <a:avLst/>
        </a:prstGeom>
      </xdr:spPr>
      <xdr:txBody>
        <a:bodyPr vert="horz"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fld id="{BE0BD683-A23D-4609-9BE0-36D87A2C18FA}" type="TxLink">
            <a:rPr lang="en-US" sz="2400" b="1" i="1" u="none" strike="noStrike">
              <a:solidFill>
                <a:srgbClr val="7F7F7F"/>
              </a:solidFill>
              <a:latin typeface="Segoe UI" panose="020B0502040204020203" pitchFamily="34" charset="0"/>
              <a:cs typeface="Segoe UI" panose="020B0502040204020203" pitchFamily="34" charset="0"/>
            </a:rPr>
            <a:pPr algn="ctr"/>
            <a:t> </a:t>
          </a:fld>
          <a:endParaRPr lang="en-US" sz="32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</xdr:col>
      <xdr:colOff>95251</xdr:colOff>
      <xdr:row>14</xdr:row>
      <xdr:rowOff>89732</xdr:rowOff>
    </xdr:from>
    <xdr:to>
      <xdr:col>3</xdr:col>
      <xdr:colOff>108858</xdr:colOff>
      <xdr:row>15</xdr:row>
      <xdr:rowOff>285749</xdr:rowOff>
    </xdr:to>
    <xdr:graphicFrame macro="">
      <xdr:nvGraphicFramePr>
        <xdr:cNvPr id="95" name="TinyChart1">
          <a:extLst>
            <a:ext uri="{FF2B5EF4-FFF2-40B4-BE49-F238E27FC236}">
              <a16:creationId xmlns:a16="http://schemas.microsoft.com/office/drawing/2014/main" id="{8FDB53FC-5629-48BC-A4C0-ED5015C6E5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563146</xdr:colOff>
      <xdr:row>6</xdr:row>
      <xdr:rowOff>87176</xdr:rowOff>
    </xdr:from>
    <xdr:to>
      <xdr:col>19</xdr:col>
      <xdr:colOff>244430</xdr:colOff>
      <xdr:row>12</xdr:row>
      <xdr:rowOff>20411</xdr:rowOff>
    </xdr:to>
    <xdr:grpSp>
      <xdr:nvGrpSpPr>
        <xdr:cNvPr id="6" name="HelpBox" hidden="1">
          <a:extLst>
            <a:ext uri="{FF2B5EF4-FFF2-40B4-BE49-F238E27FC236}">
              <a16:creationId xmlns:a16="http://schemas.microsoft.com/office/drawing/2014/main" id="{F9CBE43A-33F0-424C-B63E-AA6114E1DAEB}"/>
            </a:ext>
          </a:extLst>
        </xdr:cNvPr>
        <xdr:cNvGrpSpPr/>
      </xdr:nvGrpSpPr>
      <xdr:grpSpPr>
        <a:xfrm>
          <a:off x="1571209" y="1769926"/>
          <a:ext cx="5920159" cy="1298485"/>
          <a:chOff x="1467504" y="1696134"/>
          <a:chExt cx="5622190" cy="1147757"/>
        </a:xfrm>
      </xdr:grpSpPr>
      <xdr:sp macro="" textlink="">
        <xdr:nvSpPr>
          <xdr:cNvPr id="84" name="Rounded Rectangular Callout 15" hidden="1">
            <a:extLst>
              <a:ext uri="{FF2B5EF4-FFF2-40B4-BE49-F238E27FC236}">
                <a16:creationId xmlns:a16="http://schemas.microsoft.com/office/drawing/2014/main" id="{02266FAE-E293-4777-941E-4F7AC815A46B}"/>
              </a:ext>
            </a:extLst>
          </xdr:cNvPr>
          <xdr:cNvSpPr/>
        </xdr:nvSpPr>
        <xdr:spPr>
          <a:xfrm>
            <a:off x="1483444" y="1696134"/>
            <a:ext cx="705110" cy="315018"/>
          </a:xfrm>
          <a:prstGeom prst="wedgeRoundRectCallout">
            <a:avLst>
              <a:gd name="adj1" fmla="val -63898"/>
              <a:gd name="adj2" fmla="val -30986"/>
              <a:gd name="adj3" fmla="val 16667"/>
            </a:avLst>
          </a:prstGeom>
          <a:solidFill>
            <a:srgbClr val="4F83BD">
              <a:alpha val="60000"/>
            </a:srgbClr>
          </a:solidFill>
          <a:ln>
            <a:solidFill>
              <a:schemeClr val="bg2">
                <a:lumMod val="50000"/>
              </a:schemeClr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700" b="0">
                <a:solidFill>
                  <a:schemeClr val="bg1"/>
                </a:solidFill>
              </a:rPr>
              <a:t>Explanation</a:t>
            </a:r>
            <a:r>
              <a:rPr lang="en-US" sz="700" b="0" baseline="0">
                <a:solidFill>
                  <a:schemeClr val="bg1"/>
                </a:solidFill>
              </a:rPr>
              <a:t> no.4.</a:t>
            </a:r>
            <a:endParaRPr lang="en-US" sz="700" b="0">
              <a:solidFill>
                <a:schemeClr val="bg1"/>
              </a:solidFill>
            </a:endParaRPr>
          </a:p>
        </xdr:txBody>
      </xdr:sp>
      <xdr:sp macro="" textlink="">
        <xdr:nvSpPr>
          <xdr:cNvPr id="87" name="Rounded Rectangular Callout 18" hidden="1">
            <a:extLst>
              <a:ext uri="{FF2B5EF4-FFF2-40B4-BE49-F238E27FC236}">
                <a16:creationId xmlns:a16="http://schemas.microsoft.com/office/drawing/2014/main" id="{D7EC649C-2368-487D-836B-1A3ED0D40B0C}"/>
              </a:ext>
            </a:extLst>
          </xdr:cNvPr>
          <xdr:cNvSpPr/>
        </xdr:nvSpPr>
        <xdr:spPr>
          <a:xfrm>
            <a:off x="6264709" y="1745188"/>
            <a:ext cx="824985" cy="315129"/>
          </a:xfrm>
          <a:prstGeom prst="wedgeRoundRectCallout">
            <a:avLst>
              <a:gd name="adj1" fmla="val -30323"/>
              <a:gd name="adj2" fmla="val -79994"/>
              <a:gd name="adj3" fmla="val 16667"/>
            </a:avLst>
          </a:prstGeom>
          <a:solidFill>
            <a:srgbClr val="4F83BD">
              <a:alpha val="60000"/>
            </a:srgbClr>
          </a:solidFill>
          <a:ln>
            <a:solidFill>
              <a:schemeClr val="bg2">
                <a:lumMod val="50000"/>
              </a:schemeClr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700">
                <a:solidFill>
                  <a:schemeClr val="bg1"/>
                </a:solidFill>
              </a:rPr>
              <a:t>Explanation no.1.</a:t>
            </a:r>
          </a:p>
        </xdr:txBody>
      </xdr:sp>
      <xdr:sp macro="" textlink="">
        <xdr:nvSpPr>
          <xdr:cNvPr id="89" name="Rounded Rectangular Callout 19" hidden="1">
            <a:extLst>
              <a:ext uri="{FF2B5EF4-FFF2-40B4-BE49-F238E27FC236}">
                <a16:creationId xmlns:a16="http://schemas.microsoft.com/office/drawing/2014/main" id="{1BC7FDAE-CD9B-4815-93F4-F25FA9E0CCC8}"/>
              </a:ext>
            </a:extLst>
          </xdr:cNvPr>
          <xdr:cNvSpPr/>
        </xdr:nvSpPr>
        <xdr:spPr>
          <a:xfrm>
            <a:off x="1467504" y="2507322"/>
            <a:ext cx="791654" cy="329767"/>
          </a:xfrm>
          <a:prstGeom prst="wedgeRoundRectCallout">
            <a:avLst>
              <a:gd name="adj1" fmla="val -33685"/>
              <a:gd name="adj2" fmla="val 63263"/>
              <a:gd name="adj3" fmla="val 16667"/>
            </a:avLst>
          </a:prstGeom>
          <a:solidFill>
            <a:srgbClr val="4F83BD">
              <a:alpha val="60000"/>
            </a:srgbClr>
          </a:solidFill>
          <a:ln>
            <a:solidFill>
              <a:schemeClr val="bg2">
                <a:lumMod val="50000"/>
              </a:schemeClr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Explanation</a:t>
            </a:r>
            <a:r>
              <a:rPr lang="en-US" sz="8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 no.3</a:t>
            </a:r>
            <a:endParaRPr lang="en-US" sz="400">
              <a:solidFill>
                <a:schemeClr val="bg1"/>
              </a:solidFill>
            </a:endParaRPr>
          </a:p>
        </xdr:txBody>
      </xdr:sp>
      <xdr:sp macro="" textlink="">
        <xdr:nvSpPr>
          <xdr:cNvPr id="91" name="Rounded Rectangular Callout 20" hidden="1">
            <a:extLst>
              <a:ext uri="{FF2B5EF4-FFF2-40B4-BE49-F238E27FC236}">
                <a16:creationId xmlns:a16="http://schemas.microsoft.com/office/drawing/2014/main" id="{23D98F7D-9D43-4860-8237-8BE5A079B2C8}"/>
              </a:ext>
            </a:extLst>
          </xdr:cNvPr>
          <xdr:cNvSpPr/>
        </xdr:nvSpPr>
        <xdr:spPr>
          <a:xfrm>
            <a:off x="4591658" y="2580681"/>
            <a:ext cx="833108" cy="263210"/>
          </a:xfrm>
          <a:prstGeom prst="wedgeRoundRectCallout">
            <a:avLst>
              <a:gd name="adj1" fmla="val -26159"/>
              <a:gd name="adj2" fmla="val 65004"/>
              <a:gd name="adj3" fmla="val 16667"/>
            </a:avLst>
          </a:prstGeom>
          <a:solidFill>
            <a:srgbClr val="4F83BD">
              <a:alpha val="60000"/>
            </a:srgbClr>
          </a:solidFill>
          <a:ln>
            <a:solidFill>
              <a:schemeClr val="bg2">
                <a:lumMod val="50000"/>
              </a:schemeClr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700">
                <a:solidFill>
                  <a:schemeClr val="bg1"/>
                </a:solidFill>
              </a:rPr>
              <a:t>Explanation no.2.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9</xdr:row>
          <xdr:rowOff>261937</xdr:rowOff>
        </xdr:from>
        <xdr:to>
          <xdr:col>2</xdr:col>
          <xdr:colOff>304800</xdr:colOff>
          <xdr:row>10</xdr:row>
          <xdr:rowOff>158353</xdr:rowOff>
        </xdr:to>
        <xdr:pic>
          <xdr:nvPicPr>
            <xdr:cNvPr id="47" name="Picture 46">
              <a:extLst>
                <a:ext uri="{FF2B5EF4-FFF2-40B4-BE49-F238E27FC236}">
                  <a16:creationId xmlns:a16="http://schemas.microsoft.com/office/drawing/2014/main" id="{01C91B73-83B1-4FE9-8FB7-5CB8AB09598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ulation!$T$6" spid="_x0000_s160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363141" y="2684859"/>
              <a:ext cx="906065" cy="2000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</xdr:col>
      <xdr:colOff>232173</xdr:colOff>
      <xdr:row>10</xdr:row>
      <xdr:rowOff>95251</xdr:rowOff>
    </xdr:from>
    <xdr:to>
      <xdr:col>2</xdr:col>
      <xdr:colOff>686879</xdr:colOff>
      <xdr:row>11</xdr:row>
      <xdr:rowOff>5953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39547AAE-57FE-4E36-84A1-4443A68E9B89}"/>
            </a:ext>
          </a:extLst>
        </xdr:cNvPr>
        <xdr:cNvSpPr txBox="1"/>
      </xdr:nvSpPr>
      <xdr:spPr>
        <a:xfrm>
          <a:off x="500064" y="2821782"/>
          <a:ext cx="1151221" cy="2143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0">
              <a:solidFill>
                <a:schemeClr val="bg1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 previous month</a:t>
          </a:r>
        </a:p>
      </xdr:txBody>
    </xdr:sp>
    <xdr:clientData/>
  </xdr:twoCellAnchor>
  <xdr:twoCellAnchor>
    <xdr:from>
      <xdr:col>5</xdr:col>
      <xdr:colOff>330994</xdr:colOff>
      <xdr:row>10</xdr:row>
      <xdr:rowOff>98823</xdr:rowOff>
    </xdr:from>
    <xdr:to>
      <xdr:col>7</xdr:col>
      <xdr:colOff>488044</xdr:colOff>
      <xdr:row>11</xdr:row>
      <xdr:rowOff>9525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71CC9ED-C51F-4D53-BE6B-23C1476A363D}"/>
            </a:ext>
          </a:extLst>
        </xdr:cNvPr>
        <xdr:cNvSpPr txBox="1"/>
      </xdr:nvSpPr>
      <xdr:spPr>
        <a:xfrm>
          <a:off x="2212182" y="2825354"/>
          <a:ext cx="1151221" cy="2143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0">
              <a:solidFill>
                <a:schemeClr val="bg1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 previous month</a:t>
          </a:r>
        </a:p>
      </xdr:txBody>
    </xdr:sp>
    <xdr:clientData/>
  </xdr:twoCellAnchor>
  <xdr:twoCellAnchor>
    <xdr:from>
      <xdr:col>11</xdr:col>
      <xdr:colOff>298847</xdr:colOff>
      <xdr:row>10</xdr:row>
      <xdr:rowOff>102395</xdr:rowOff>
    </xdr:from>
    <xdr:to>
      <xdr:col>13</xdr:col>
      <xdr:colOff>57037</xdr:colOff>
      <xdr:row>11</xdr:row>
      <xdr:rowOff>13097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9C0D528B-C6B9-4FFC-BB81-AB153E22F800}"/>
            </a:ext>
          </a:extLst>
        </xdr:cNvPr>
        <xdr:cNvSpPr txBox="1"/>
      </xdr:nvSpPr>
      <xdr:spPr>
        <a:xfrm>
          <a:off x="3852863" y="2828926"/>
          <a:ext cx="1151221" cy="2143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0">
              <a:solidFill>
                <a:schemeClr val="bg1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 previous month</a:t>
          </a:r>
        </a:p>
      </xdr:txBody>
    </xdr:sp>
    <xdr:clientData/>
  </xdr:twoCellAnchor>
  <xdr:twoCellAnchor>
    <xdr:from>
      <xdr:col>15</xdr:col>
      <xdr:colOff>326232</xdr:colOff>
      <xdr:row>10</xdr:row>
      <xdr:rowOff>100014</xdr:rowOff>
    </xdr:from>
    <xdr:to>
      <xdr:col>17</xdr:col>
      <xdr:colOff>84422</xdr:colOff>
      <xdr:row>11</xdr:row>
      <xdr:rowOff>10716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4A8126C-6538-4121-8D05-E3614A8798A2}"/>
            </a:ext>
          </a:extLst>
        </xdr:cNvPr>
        <xdr:cNvSpPr txBox="1"/>
      </xdr:nvSpPr>
      <xdr:spPr>
        <a:xfrm>
          <a:off x="5559029" y="2826545"/>
          <a:ext cx="1151221" cy="2143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0">
              <a:solidFill>
                <a:schemeClr val="bg1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 previous month</a:t>
          </a:r>
        </a:p>
      </xdr:txBody>
    </xdr:sp>
    <xdr:clientData/>
  </xdr:twoCellAnchor>
  <xdr:twoCellAnchor>
    <xdr:from>
      <xdr:col>19</xdr:col>
      <xdr:colOff>317897</xdr:colOff>
      <xdr:row>10</xdr:row>
      <xdr:rowOff>103586</xdr:rowOff>
    </xdr:from>
    <xdr:to>
      <xdr:col>20</xdr:col>
      <xdr:colOff>707118</xdr:colOff>
      <xdr:row>11</xdr:row>
      <xdr:rowOff>14288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C6C2DE92-3769-415F-9F5F-704C7565626D}"/>
            </a:ext>
          </a:extLst>
        </xdr:cNvPr>
        <xdr:cNvSpPr txBox="1"/>
      </xdr:nvSpPr>
      <xdr:spPr>
        <a:xfrm>
          <a:off x="7247335" y="2830117"/>
          <a:ext cx="1151221" cy="2143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0">
              <a:solidFill>
                <a:schemeClr val="bg1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 previous month</a:t>
          </a:r>
        </a:p>
      </xdr:txBody>
    </xdr:sp>
    <xdr:clientData/>
  </xdr:twoCellAnchor>
  <xdr:twoCellAnchor>
    <xdr:from>
      <xdr:col>1</xdr:col>
      <xdr:colOff>261937</xdr:colOff>
      <xdr:row>16</xdr:row>
      <xdr:rowOff>71439</xdr:rowOff>
    </xdr:from>
    <xdr:to>
      <xdr:col>3</xdr:col>
      <xdr:colOff>20127</xdr:colOff>
      <xdr:row>16</xdr:row>
      <xdr:rowOff>285751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B10BCD76-B2A2-4554-B1F6-6EE5F98D71A3}"/>
            </a:ext>
          </a:extLst>
        </xdr:cNvPr>
        <xdr:cNvSpPr txBox="1"/>
      </xdr:nvSpPr>
      <xdr:spPr>
        <a:xfrm>
          <a:off x="529828" y="4149330"/>
          <a:ext cx="1151221" cy="2143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0">
              <a:solidFill>
                <a:schemeClr val="bg1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 previous month</a:t>
          </a:r>
        </a:p>
      </xdr:txBody>
    </xdr:sp>
    <xdr:clientData/>
  </xdr:twoCellAnchor>
  <xdr:twoCellAnchor>
    <xdr:from>
      <xdr:col>5</xdr:col>
      <xdr:colOff>289321</xdr:colOff>
      <xdr:row>16</xdr:row>
      <xdr:rowOff>86917</xdr:rowOff>
    </xdr:from>
    <xdr:to>
      <xdr:col>7</xdr:col>
      <xdr:colOff>446371</xdr:colOff>
      <xdr:row>17</xdr:row>
      <xdr:rowOff>3573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EF01DAED-09B5-4DD0-9F1B-7F42981D88D5}"/>
            </a:ext>
          </a:extLst>
        </xdr:cNvPr>
        <xdr:cNvSpPr txBox="1"/>
      </xdr:nvSpPr>
      <xdr:spPr>
        <a:xfrm>
          <a:off x="2170509" y="4164808"/>
          <a:ext cx="1151221" cy="2143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0">
              <a:solidFill>
                <a:schemeClr val="bg1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 previous month</a:t>
          </a:r>
        </a:p>
      </xdr:txBody>
    </xdr:sp>
    <xdr:clientData/>
  </xdr:twoCellAnchor>
  <xdr:twoCellAnchor>
    <xdr:from>
      <xdr:col>11</xdr:col>
      <xdr:colOff>263128</xdr:colOff>
      <xdr:row>16</xdr:row>
      <xdr:rowOff>72630</xdr:rowOff>
    </xdr:from>
    <xdr:to>
      <xdr:col>13</xdr:col>
      <xdr:colOff>21318</xdr:colOff>
      <xdr:row>16</xdr:row>
      <xdr:rowOff>286942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540A45F-7F21-42BA-9602-CBFEBCBCE4F8}"/>
            </a:ext>
          </a:extLst>
        </xdr:cNvPr>
        <xdr:cNvSpPr txBox="1"/>
      </xdr:nvSpPr>
      <xdr:spPr>
        <a:xfrm>
          <a:off x="3817144" y="4150521"/>
          <a:ext cx="1151221" cy="2143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0">
              <a:solidFill>
                <a:schemeClr val="bg1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 previous month</a:t>
          </a:r>
        </a:p>
      </xdr:txBody>
    </xdr:sp>
    <xdr:clientData/>
  </xdr:twoCellAnchor>
  <xdr:twoCellAnchor>
    <xdr:from>
      <xdr:col>15</xdr:col>
      <xdr:colOff>308372</xdr:colOff>
      <xdr:row>16</xdr:row>
      <xdr:rowOff>100014</xdr:rowOff>
    </xdr:from>
    <xdr:to>
      <xdr:col>17</xdr:col>
      <xdr:colOff>66562</xdr:colOff>
      <xdr:row>17</xdr:row>
      <xdr:rowOff>16670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34B63019-A755-400C-8D5F-F2A17675A686}"/>
            </a:ext>
          </a:extLst>
        </xdr:cNvPr>
        <xdr:cNvSpPr txBox="1"/>
      </xdr:nvSpPr>
      <xdr:spPr>
        <a:xfrm>
          <a:off x="5541169" y="4177905"/>
          <a:ext cx="1151221" cy="2143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0">
              <a:solidFill>
                <a:schemeClr val="bg1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 previous month</a:t>
          </a:r>
        </a:p>
      </xdr:txBody>
    </xdr:sp>
    <xdr:clientData/>
  </xdr:twoCellAnchor>
  <xdr:twoCellAnchor>
    <xdr:from>
      <xdr:col>19</xdr:col>
      <xdr:colOff>359568</xdr:colOff>
      <xdr:row>16</xdr:row>
      <xdr:rowOff>85727</xdr:rowOff>
    </xdr:from>
    <xdr:to>
      <xdr:col>20</xdr:col>
      <xdr:colOff>748789</xdr:colOff>
      <xdr:row>17</xdr:row>
      <xdr:rowOff>2383</xdr:rowOff>
    </xdr:to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882611B4-FCA6-4C65-BD02-C2FB2FDD6AD1}"/>
            </a:ext>
          </a:extLst>
        </xdr:cNvPr>
        <xdr:cNvSpPr txBox="1"/>
      </xdr:nvSpPr>
      <xdr:spPr>
        <a:xfrm>
          <a:off x="7289006" y="4163618"/>
          <a:ext cx="1151221" cy="2143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0">
              <a:solidFill>
                <a:schemeClr val="bg1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 previous month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113109</xdr:colOff>
          <xdr:row>9</xdr:row>
          <xdr:rowOff>285750</xdr:rowOff>
        </xdr:from>
        <xdr:to>
          <xdr:col>7</xdr:col>
          <xdr:colOff>25003</xdr:colOff>
          <xdr:row>10</xdr:row>
          <xdr:rowOff>182166</xdr:rowOff>
        </xdr:to>
        <xdr:pic>
          <xdr:nvPicPr>
            <xdr:cNvPr id="42" name="Picture 41">
              <a:extLst>
                <a:ext uri="{FF2B5EF4-FFF2-40B4-BE49-F238E27FC236}">
                  <a16:creationId xmlns:a16="http://schemas.microsoft.com/office/drawing/2014/main" id="{556FE0F4-3C5E-4D71-90CD-FE2AD9BA21B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ulation!$T$7" spid="_x0000_s1605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1994297" y="2708672"/>
              <a:ext cx="906065" cy="2000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101202</xdr:colOff>
          <xdr:row>9</xdr:row>
          <xdr:rowOff>291703</xdr:rowOff>
        </xdr:from>
        <xdr:to>
          <xdr:col>12</xdr:col>
          <xdr:colOff>310753</xdr:colOff>
          <xdr:row>10</xdr:row>
          <xdr:rowOff>188119</xdr:rowOff>
        </xdr:to>
        <xdr:pic>
          <xdr:nvPicPr>
            <xdr:cNvPr id="43" name="Picture 42">
              <a:extLst>
                <a:ext uri="{FF2B5EF4-FFF2-40B4-BE49-F238E27FC236}">
                  <a16:creationId xmlns:a16="http://schemas.microsoft.com/office/drawing/2014/main" id="{D7E7153D-A676-4D98-ADF7-F21B19845DE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ulation!$T$8" spid="_x0000_s1606"/>
                </a:ext>
              </a:extLst>
            </xdr:cNvPicPr>
          </xdr:nvPicPr>
          <xdr:blipFill>
            <a:blip xmlns:r="http://schemas.openxmlformats.org/officeDocument/2006/relationships" r:embed="rId13"/>
            <a:srcRect/>
            <a:stretch>
              <a:fillRect/>
            </a:stretch>
          </xdr:blipFill>
          <xdr:spPr bwMode="auto">
            <a:xfrm>
              <a:off x="3655218" y="2714625"/>
              <a:ext cx="906066" cy="2000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125016</xdr:colOff>
          <xdr:row>9</xdr:row>
          <xdr:rowOff>285750</xdr:rowOff>
        </xdr:from>
        <xdr:to>
          <xdr:col>16</xdr:col>
          <xdr:colOff>333375</xdr:colOff>
          <xdr:row>10</xdr:row>
          <xdr:rowOff>182166</xdr:rowOff>
        </xdr:to>
        <xdr:pic>
          <xdr:nvPicPr>
            <xdr:cNvPr id="44" name="Picture 43">
              <a:extLst>
                <a:ext uri="{FF2B5EF4-FFF2-40B4-BE49-F238E27FC236}">
                  <a16:creationId xmlns:a16="http://schemas.microsoft.com/office/drawing/2014/main" id="{96D4C659-0DC0-4107-9E1E-589A72DEA84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ulation!$T$9" spid="_x0000_s1607"/>
                </a:ext>
              </a:extLst>
            </xdr:cNvPicPr>
          </xdr:nvPicPr>
          <xdr:blipFill>
            <a:blip xmlns:r="http://schemas.openxmlformats.org/officeDocument/2006/relationships" r:embed="rId14"/>
            <a:srcRect/>
            <a:stretch>
              <a:fillRect/>
            </a:stretch>
          </xdr:blipFill>
          <xdr:spPr bwMode="auto">
            <a:xfrm>
              <a:off x="5357813" y="2708672"/>
              <a:ext cx="904875" cy="2000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113109</xdr:colOff>
          <xdr:row>9</xdr:row>
          <xdr:rowOff>291704</xdr:rowOff>
        </xdr:from>
        <xdr:to>
          <xdr:col>20</xdr:col>
          <xdr:colOff>257175</xdr:colOff>
          <xdr:row>10</xdr:row>
          <xdr:rowOff>188120</xdr:rowOff>
        </xdr:to>
        <xdr:pic>
          <xdr:nvPicPr>
            <xdr:cNvPr id="45" name="Picture 44">
              <a:extLst>
                <a:ext uri="{FF2B5EF4-FFF2-40B4-BE49-F238E27FC236}">
                  <a16:creationId xmlns:a16="http://schemas.microsoft.com/office/drawing/2014/main" id="{147A37DF-AE97-4AEA-A881-FD5031C85A9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ulation!$T$10" spid="_x0000_s1608"/>
                </a:ext>
              </a:extLst>
            </xdr:cNvPicPr>
          </xdr:nvPicPr>
          <xdr:blipFill>
            <a:blip xmlns:r="http://schemas.openxmlformats.org/officeDocument/2006/relationships" r:embed="rId15"/>
            <a:srcRect/>
            <a:stretch>
              <a:fillRect/>
            </a:stretch>
          </xdr:blipFill>
          <xdr:spPr bwMode="auto">
            <a:xfrm>
              <a:off x="7042547" y="2714626"/>
              <a:ext cx="906066" cy="2000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71438</xdr:colOff>
          <xdr:row>15</xdr:row>
          <xdr:rowOff>250032</xdr:rowOff>
        </xdr:from>
        <xdr:to>
          <xdr:col>2</xdr:col>
          <xdr:colOff>280989</xdr:colOff>
          <xdr:row>16</xdr:row>
          <xdr:rowOff>146447</xdr:rowOff>
        </xdr:to>
        <xdr:pic>
          <xdr:nvPicPr>
            <xdr:cNvPr id="46" name="Picture 45">
              <a:extLst>
                <a:ext uri="{FF2B5EF4-FFF2-40B4-BE49-F238E27FC236}">
                  <a16:creationId xmlns:a16="http://schemas.microsoft.com/office/drawing/2014/main" id="{E37B09DF-E9A2-47CA-A264-92A3CB0BB8D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ulation!$T$11" spid="_x0000_s1609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>
              <a:off x="339329" y="4024313"/>
              <a:ext cx="906066" cy="2000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113109</xdr:colOff>
          <xdr:row>15</xdr:row>
          <xdr:rowOff>267891</xdr:rowOff>
        </xdr:from>
        <xdr:to>
          <xdr:col>7</xdr:col>
          <xdr:colOff>26194</xdr:colOff>
          <xdr:row>16</xdr:row>
          <xdr:rowOff>164306</xdr:rowOff>
        </xdr:to>
        <xdr:pic>
          <xdr:nvPicPr>
            <xdr:cNvPr id="48" name="Picture 47">
              <a:extLst>
                <a:ext uri="{FF2B5EF4-FFF2-40B4-BE49-F238E27FC236}">
                  <a16:creationId xmlns:a16="http://schemas.microsoft.com/office/drawing/2014/main" id="{1A05DD3D-1280-4882-966E-3B640151E86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ulation!$T$12" spid="_x0000_s1610"/>
                </a:ext>
              </a:extLst>
            </xdr:cNvPicPr>
          </xdr:nvPicPr>
          <xdr:blipFill>
            <a:blip xmlns:r="http://schemas.openxmlformats.org/officeDocument/2006/relationships" r:embed="rId17"/>
            <a:srcRect/>
            <a:stretch>
              <a:fillRect/>
            </a:stretch>
          </xdr:blipFill>
          <xdr:spPr bwMode="auto">
            <a:xfrm>
              <a:off x="1994297" y="4042172"/>
              <a:ext cx="907256" cy="2000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101202</xdr:colOff>
          <xdr:row>15</xdr:row>
          <xdr:rowOff>250031</xdr:rowOff>
        </xdr:from>
        <xdr:to>
          <xdr:col>12</xdr:col>
          <xdr:colOff>310753</xdr:colOff>
          <xdr:row>16</xdr:row>
          <xdr:rowOff>146446</xdr:rowOff>
        </xdr:to>
        <xdr:pic>
          <xdr:nvPicPr>
            <xdr:cNvPr id="49" name="Picture 48">
              <a:extLst>
                <a:ext uri="{FF2B5EF4-FFF2-40B4-BE49-F238E27FC236}">
                  <a16:creationId xmlns:a16="http://schemas.microsoft.com/office/drawing/2014/main" id="{AFAFFC33-D4A6-4A9C-B6F1-4606D0ABC96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ulation!$T$13" spid="_x0000_s1611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3655218" y="4024312"/>
              <a:ext cx="906066" cy="2000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142875</xdr:colOff>
          <xdr:row>15</xdr:row>
          <xdr:rowOff>267891</xdr:rowOff>
        </xdr:from>
        <xdr:to>
          <xdr:col>16</xdr:col>
          <xdr:colOff>352424</xdr:colOff>
          <xdr:row>16</xdr:row>
          <xdr:rowOff>164306</xdr:rowOff>
        </xdr:to>
        <xdr:pic>
          <xdr:nvPicPr>
            <xdr:cNvPr id="50" name="Picture 49">
              <a:extLst>
                <a:ext uri="{FF2B5EF4-FFF2-40B4-BE49-F238E27FC236}">
                  <a16:creationId xmlns:a16="http://schemas.microsoft.com/office/drawing/2014/main" id="{CCD88124-B10C-40D2-83A9-23B9367911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ulation!$T$14" spid="_x0000_s1612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5375672" y="4042172"/>
              <a:ext cx="906065" cy="2000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190500</xdr:colOff>
          <xdr:row>15</xdr:row>
          <xdr:rowOff>261937</xdr:rowOff>
        </xdr:from>
        <xdr:to>
          <xdr:col>20</xdr:col>
          <xdr:colOff>333375</xdr:colOff>
          <xdr:row>16</xdr:row>
          <xdr:rowOff>167877</xdr:rowOff>
        </xdr:to>
        <xdr:pic>
          <xdr:nvPicPr>
            <xdr:cNvPr id="51" name="Picture 50">
              <a:extLst>
                <a:ext uri="{FF2B5EF4-FFF2-40B4-BE49-F238E27FC236}">
                  <a16:creationId xmlns:a16="http://schemas.microsoft.com/office/drawing/2014/main" id="{367348F6-F7E0-4536-896E-945BB01A907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ulation!$T$15" spid="_x0000_s1613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>
              <a:off x="7119938" y="4036218"/>
              <a:ext cx="904875" cy="2095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0</xdr:col>
      <xdr:colOff>107156</xdr:colOff>
      <xdr:row>1</xdr:row>
      <xdr:rowOff>172641</xdr:rowOff>
    </xdr:from>
    <xdr:to>
      <xdr:col>5</xdr:col>
      <xdr:colOff>130968</xdr:colOff>
      <xdr:row>6</xdr:row>
      <xdr:rowOff>83343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64DEEE67-E81D-467E-908D-FFB58011D192}"/>
            </a:ext>
          </a:extLst>
        </xdr:cNvPr>
        <xdr:cNvGrpSpPr/>
      </xdr:nvGrpSpPr>
      <xdr:grpSpPr>
        <a:xfrm>
          <a:off x="107156" y="255985"/>
          <a:ext cx="1992312" cy="1510108"/>
          <a:chOff x="8655845" y="1041798"/>
          <a:chExt cx="4572000" cy="2743200"/>
        </a:xfrm>
      </xdr:grpSpPr>
      <xdr:graphicFrame macro="">
        <xdr:nvGraphicFramePr>
          <xdr:cNvPr id="56" name="Chart 55">
            <a:extLst>
              <a:ext uri="{FF2B5EF4-FFF2-40B4-BE49-F238E27FC236}">
                <a16:creationId xmlns:a16="http://schemas.microsoft.com/office/drawing/2014/main" id="{78496968-A127-4F23-ADDA-20CA509B673A}"/>
              </a:ext>
            </a:extLst>
          </xdr:cNvPr>
          <xdr:cNvGraphicFramePr>
            <a:graphicFrameLocks/>
          </xdr:cNvGraphicFramePr>
        </xdr:nvGraphicFramePr>
        <xdr:xfrm>
          <a:off x="8655845" y="1041798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Calculation!E26">
        <xdr:nvSpPr>
          <xdr:cNvPr id="5" name="TextBox 4">
            <a:extLst>
              <a:ext uri="{FF2B5EF4-FFF2-40B4-BE49-F238E27FC236}">
                <a16:creationId xmlns:a16="http://schemas.microsoft.com/office/drawing/2014/main" id="{AD6CAA5F-40D0-4E35-97F1-50E4BFA333E4}"/>
              </a:ext>
            </a:extLst>
          </xdr:cNvPr>
          <xdr:cNvSpPr txBox="1"/>
        </xdr:nvSpPr>
        <xdr:spPr>
          <a:xfrm>
            <a:off x="10327486" y="2085288"/>
            <a:ext cx="1314446" cy="6131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64CAE3EB-C280-48F5-B797-EB1EC4D3794C}" type="TxLink">
              <a:rPr lang="en-US" sz="1600" b="1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Berlin Sans FB Demi" panose="020E0802020502020306" pitchFamily="34" charset="0"/>
                <a:cs typeface="Segoe UI"/>
              </a:rPr>
              <a:pPr algn="ctr"/>
              <a:t>16%</a:t>
            </a:fld>
            <a:endParaRPr lang="en-US" sz="2400" b="1" i="0">
              <a:solidFill>
                <a:schemeClr val="tx1">
                  <a:lumMod val="50000"/>
                  <a:lumOff val="50000"/>
                </a:schemeClr>
              </a:solidFill>
              <a:latin typeface="Berlin Sans FB Demi" panose="020E0802020502020306" pitchFamily="34" charset="0"/>
            </a:endParaRPr>
          </a:p>
        </xdr:txBody>
      </xdr:sp>
    </xdr:grpSp>
    <xdr:clientData/>
  </xdr:twoCellAnchor>
  <xdr:twoCellAnchor>
    <xdr:from>
      <xdr:col>5</xdr:col>
      <xdr:colOff>5954</xdr:colOff>
      <xdr:row>2</xdr:row>
      <xdr:rowOff>23812</xdr:rowOff>
    </xdr:from>
    <xdr:to>
      <xdr:col>7</xdr:col>
      <xdr:colOff>476251</xdr:colOff>
      <xdr:row>5</xdr:row>
      <xdr:rowOff>35718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4E291216-2209-4425-827C-6A88F6E778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452436</xdr:colOff>
      <xdr:row>4</xdr:row>
      <xdr:rowOff>47626</xdr:rowOff>
    </xdr:from>
    <xdr:to>
      <xdr:col>7</xdr:col>
      <xdr:colOff>130967</xdr:colOff>
      <xdr:row>4</xdr:row>
      <xdr:rowOff>434578</xdr:rowOff>
    </xdr:to>
    <xdr:sp macro="" textlink="Calculation!K26">
      <xdr:nvSpPr>
        <xdr:cNvPr id="53" name="TextBox 52">
          <a:extLst>
            <a:ext uri="{FF2B5EF4-FFF2-40B4-BE49-F238E27FC236}">
              <a16:creationId xmlns:a16="http://schemas.microsoft.com/office/drawing/2014/main" id="{20D26648-E499-4DE5-ABDE-A3ACD37F80D2}"/>
            </a:ext>
          </a:extLst>
        </xdr:cNvPr>
        <xdr:cNvSpPr txBox="1"/>
      </xdr:nvSpPr>
      <xdr:spPr>
        <a:xfrm>
          <a:off x="2333624" y="833439"/>
          <a:ext cx="672702" cy="3869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646BE6A-AF04-41DF-A718-16D31570346B}" type="TxLink">
            <a:rPr lang="en-US" sz="1600" b="1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Berlin Sans FB Demi" panose="020E0802020502020306" pitchFamily="34" charset="0"/>
              <a:cs typeface="Segoe UI"/>
            </a:rPr>
            <a:pPr algn="ctr"/>
            <a:t>61%</a:t>
          </a:fld>
          <a:endParaRPr lang="en-US" sz="4800" b="1" i="0">
            <a:solidFill>
              <a:schemeClr val="tx1">
                <a:lumMod val="50000"/>
                <a:lumOff val="50000"/>
              </a:schemeClr>
            </a:solidFill>
            <a:latin typeface="Berlin Sans FB Demi" panose="020E0802020502020306" pitchFamily="34" charset="0"/>
          </a:endParaRPr>
        </a:p>
      </xdr:txBody>
    </xdr:sp>
    <xdr:clientData/>
  </xdr:twoCellAnchor>
  <xdr:twoCellAnchor>
    <xdr:from>
      <xdr:col>12</xdr:col>
      <xdr:colOff>440531</xdr:colOff>
      <xdr:row>1</xdr:row>
      <xdr:rowOff>130971</xdr:rowOff>
    </xdr:from>
    <xdr:to>
      <xdr:col>19</xdr:col>
      <xdr:colOff>345281</xdr:colOff>
      <xdr:row>6</xdr:row>
      <xdr:rowOff>23812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030CEABD-6645-4ECD-87F3-D23A40160E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15</xdr:col>
      <xdr:colOff>444103</xdr:colOff>
      <xdr:row>4</xdr:row>
      <xdr:rowOff>39293</xdr:rowOff>
    </xdr:from>
    <xdr:to>
      <xdr:col>16</xdr:col>
      <xdr:colOff>420289</xdr:colOff>
      <xdr:row>4</xdr:row>
      <xdr:rowOff>426245</xdr:rowOff>
    </xdr:to>
    <xdr:sp macro="" textlink="Calculation!Q26">
      <xdr:nvSpPr>
        <xdr:cNvPr id="55" name="TextBox 54">
          <a:extLst>
            <a:ext uri="{FF2B5EF4-FFF2-40B4-BE49-F238E27FC236}">
              <a16:creationId xmlns:a16="http://schemas.microsoft.com/office/drawing/2014/main" id="{58E62590-3B62-4D71-83C9-79F506D82D08}"/>
            </a:ext>
          </a:extLst>
        </xdr:cNvPr>
        <xdr:cNvSpPr txBox="1"/>
      </xdr:nvSpPr>
      <xdr:spPr>
        <a:xfrm>
          <a:off x="5676900" y="825106"/>
          <a:ext cx="672702" cy="3869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812BB34-FFFC-4ED3-8413-8E65CAE2B8C4}" type="TxLink">
            <a:rPr lang="en-US" sz="1600" b="1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Berlin Sans FB Demi" panose="020E0802020502020306" pitchFamily="34" charset="0"/>
              <a:cs typeface="Segoe UI"/>
            </a:rPr>
            <a:pPr algn="ctr"/>
            <a:t>90%</a:t>
          </a:fld>
          <a:endParaRPr lang="en-US" sz="8800" b="1" i="0">
            <a:solidFill>
              <a:schemeClr val="tx1">
                <a:lumMod val="50000"/>
                <a:lumOff val="50000"/>
              </a:schemeClr>
            </a:solidFill>
            <a:latin typeface="Berlin Sans FB Demi" panose="020E0802020502020306" pitchFamily="34" charset="0"/>
          </a:endParaRPr>
        </a:p>
      </xdr:txBody>
    </xdr:sp>
    <xdr:clientData/>
  </xdr:twoCellAnchor>
  <xdr:twoCellAnchor>
    <xdr:from>
      <xdr:col>16</xdr:col>
      <xdr:colOff>154781</xdr:colOff>
      <xdr:row>1</xdr:row>
      <xdr:rowOff>136922</xdr:rowOff>
    </xdr:from>
    <xdr:to>
      <xdr:col>22</xdr:col>
      <xdr:colOff>619124</xdr:colOff>
      <xdr:row>6</xdr:row>
      <xdr:rowOff>29765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355E4FF5-2718-418D-A6F5-DA2AB09BC6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11</xdr:col>
      <xdr:colOff>564374</xdr:colOff>
      <xdr:row>2</xdr:row>
      <xdr:rowOff>225048</xdr:rowOff>
    </xdr:from>
    <xdr:to>
      <xdr:col>13</xdr:col>
      <xdr:colOff>85743</xdr:colOff>
      <xdr:row>4</xdr:row>
      <xdr:rowOff>657244</xdr:rowOff>
    </xdr:to>
    <xdr:pic>
      <xdr:nvPicPr>
        <xdr:cNvPr id="59" name="Graphic 58" descr="Woman">
          <a:extLst>
            <a:ext uri="{FF2B5EF4-FFF2-40B4-BE49-F238E27FC236}">
              <a16:creationId xmlns:a16="http://schemas.microsoft.com/office/drawing/2014/main" id="{54E9D4FA-774A-4D1E-B12C-9CAD3A177C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4118390" y="528657"/>
          <a:ext cx="914400" cy="914400"/>
        </a:xfrm>
        <a:prstGeom prst="rect">
          <a:avLst/>
        </a:prstGeom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119062</xdr:colOff>
      <xdr:row>2</xdr:row>
      <xdr:rowOff>220267</xdr:rowOff>
    </xdr:from>
    <xdr:to>
      <xdr:col>12</xdr:col>
      <xdr:colOff>336947</xdr:colOff>
      <xdr:row>4</xdr:row>
      <xdr:rowOff>652463</xdr:rowOff>
    </xdr:to>
    <xdr:pic>
      <xdr:nvPicPr>
        <xdr:cNvPr id="60" name="Graphic 59" descr="Man">
          <a:extLst>
            <a:ext uri="{FF2B5EF4-FFF2-40B4-BE49-F238E27FC236}">
              <a16:creationId xmlns:a16="http://schemas.microsoft.com/office/drawing/2014/main" id="{A09C60B0-6C88-4660-838D-C15FDF7676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673078" y="523876"/>
          <a:ext cx="914400" cy="914400"/>
        </a:xfrm>
        <a:prstGeom prst="rect">
          <a:avLst/>
        </a:prstGeom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0.54829</cdr:x>
      <cdr:y>0.44185</cdr:y>
    </cdr:from>
    <cdr:to>
      <cdr:x>0.61201</cdr:x>
      <cdr:y>0.57367</cdr:y>
    </cdr:to>
    <cdr:pic>
      <cdr:nvPicPr>
        <cdr:cNvPr id="3" name="Graphic 74" descr="Man">
          <a:extLst xmlns:a="http://schemas.openxmlformats.org/drawingml/2006/main">
            <a:ext uri="{FF2B5EF4-FFF2-40B4-BE49-F238E27FC236}">
              <a16:creationId xmlns:a16="http://schemas.microsoft.com/office/drawing/2014/main" id="{7931C03A-154E-4392-BBB3-FBEC8B19DF7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716897" y="662856"/>
          <a:ext cx="199508" cy="19775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0.37541</cdr:x>
      <cdr:y>0.44164</cdr:y>
    </cdr:from>
    <cdr:to>
      <cdr:x>0.43753</cdr:x>
      <cdr:y>0.57021</cdr:y>
    </cdr:to>
    <cdr:pic>
      <cdr:nvPicPr>
        <cdr:cNvPr id="4" name="Graphic 79" descr="Woman">
          <a:extLst xmlns:a="http://schemas.openxmlformats.org/drawingml/2006/main">
            <a:ext uri="{FF2B5EF4-FFF2-40B4-BE49-F238E27FC236}">
              <a16:creationId xmlns:a16="http://schemas.microsoft.com/office/drawing/2014/main" id="{0C5E652E-A3C6-4D50-93AE-9F60AD3A7F3B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175552" y="662539"/>
          <a:ext cx="194512" cy="19288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0.40864</cdr:x>
      <cdr:y>0.41139</cdr:y>
    </cdr:from>
    <cdr:to>
      <cdr:x>0.57782</cdr:x>
      <cdr:y>0.5752</cdr:y>
    </cdr:to>
    <cdr:sp macro="" textlink="Calculation!$V$21">
      <cdr:nvSpPr>
        <cdr:cNvPr id="5" name="TextBox 93">
          <a:extLst xmlns:a="http://schemas.openxmlformats.org/drawingml/2006/main">
            <a:ext uri="{FF2B5EF4-FFF2-40B4-BE49-F238E27FC236}">
              <a16:creationId xmlns:a16="http://schemas.microsoft.com/office/drawing/2014/main" id="{4E84C76A-DA6F-4FCD-BD9D-5146D1EA0386}"/>
            </a:ext>
          </a:extLst>
        </cdr:cNvPr>
        <cdr:cNvSpPr txBox="1"/>
      </cdr:nvSpPr>
      <cdr:spPr>
        <a:xfrm xmlns:a="http://schemas.openxmlformats.org/drawingml/2006/main">
          <a:off x="1279586" y="617160"/>
          <a:ext cx="529754" cy="2457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DF8D35CE-2616-4309-BFB7-F0A086F89FA5}" type="TxLink">
            <a:rPr lang="en-US" sz="1600" b="1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Berlin Sans FB Demi" panose="020E0802020502020306" pitchFamily="34" charset="0"/>
              <a:cs typeface="Calibri"/>
            </a:rPr>
            <a:pPr algn="ctr"/>
            <a:t>35</a:t>
          </a:fld>
          <a:endParaRPr lang="en-US" sz="7200" b="1" i="0">
            <a:solidFill>
              <a:schemeClr val="tx1">
                <a:lumMod val="50000"/>
                <a:lumOff val="50000"/>
              </a:schemeClr>
            </a:solidFill>
            <a:latin typeface="Berlin Sans FB Demi" panose="020E0802020502020306" pitchFamily="34" charset="0"/>
            <a:cs typeface="Segoe UI" panose="020B0502040204020203" pitchFamily="34" charset="0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173691</xdr:colOff>
      <xdr:row>16</xdr:row>
      <xdr:rowOff>101974</xdr:rowOff>
    </xdr:from>
    <xdr:to>
      <xdr:col>24</xdr:col>
      <xdr:colOff>571499</xdr:colOff>
      <xdr:row>27</xdr:row>
      <xdr:rowOff>112059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C1CEB04-ED50-45A8-BF3C-2497332B60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280146</xdr:colOff>
      <xdr:row>21</xdr:row>
      <xdr:rowOff>22411</xdr:rowOff>
    </xdr:from>
    <xdr:to>
      <xdr:col>15</xdr:col>
      <xdr:colOff>319367</xdr:colOff>
      <xdr:row>22</xdr:row>
      <xdr:rowOff>100853</xdr:rowOff>
    </xdr:to>
    <xdr:sp macro="" textlink="$D$24">
      <xdr:nvSpPr>
        <xdr:cNvPr id="3" name="TextBox 2">
          <a:extLst>
            <a:ext uri="{FF2B5EF4-FFF2-40B4-BE49-F238E27FC236}">
              <a16:creationId xmlns:a16="http://schemas.microsoft.com/office/drawing/2014/main" id="{F6EBE6BA-3CAC-42F2-80E6-F99824467028}"/>
            </a:ext>
          </a:extLst>
        </xdr:cNvPr>
        <xdr:cNvSpPr txBox="1"/>
      </xdr:nvSpPr>
      <xdr:spPr>
        <a:xfrm>
          <a:off x="5838264" y="3759573"/>
          <a:ext cx="745191" cy="2689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0116E10-E316-4EA5-B23F-FEDD0753A725}" type="TxLink">
            <a:rPr lang="en-US" sz="1800" b="1" i="1" u="none" strike="noStrike">
              <a:solidFill>
                <a:srgbClr val="595959"/>
              </a:solidFill>
              <a:latin typeface="Segoe UI"/>
              <a:cs typeface="Segoe UI"/>
            </a:rPr>
            <a:pPr algn="ctr"/>
            <a:t>16%</a:t>
          </a:fld>
          <a:endParaRPr lang="en-US" sz="28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4"/>
  <sheetViews>
    <sheetView showGridLines="0" topLeftCell="A14" zoomScale="160" zoomScaleNormal="160" workbookViewId="0">
      <selection activeCell="N24" sqref="N24"/>
    </sheetView>
  </sheetViews>
  <sheetFormatPr defaultColWidth="11.453125" defaultRowHeight="14.5" x14ac:dyDescent="0.35"/>
  <cols>
    <col min="1" max="1" width="2" style="27" customWidth="1"/>
    <col min="2" max="2" width="8.1796875" style="3" bestFit="1" customWidth="1"/>
    <col min="3" max="4" width="11.453125" style="1" customWidth="1"/>
    <col min="5" max="5" width="5.54296875" style="1" customWidth="1"/>
    <col min="6" max="6" width="7.1796875" style="4" bestFit="1" customWidth="1"/>
    <col min="7" max="17" width="6.81640625" style="4" bestFit="1" customWidth="1"/>
    <col min="18" max="18" width="14.7265625" style="80" hidden="1" customWidth="1"/>
    <col min="19" max="19" width="3.453125" style="76" hidden="1" customWidth="1"/>
    <col min="20" max="20" width="8.453125" style="13" hidden="1" customWidth="1"/>
    <col min="21" max="16384" width="11.453125" style="1"/>
  </cols>
  <sheetData>
    <row r="1" spans="2:31" s="27" customFormat="1" ht="5.25" customHeight="1" x14ac:dyDescent="0.35">
      <c r="R1" s="78"/>
      <c r="S1" s="70"/>
      <c r="T1" s="29"/>
    </row>
    <row r="2" spans="2:31" s="27" customFormat="1" ht="9" hidden="1" customHeight="1" x14ac:dyDescent="0.35">
      <c r="B2" s="159"/>
      <c r="C2" s="159"/>
      <c r="D2" s="159"/>
      <c r="E2" s="159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79"/>
      <c r="S2" s="70"/>
      <c r="T2" s="29"/>
    </row>
    <row r="3" spans="2:31" ht="4.5" customHeight="1" x14ac:dyDescent="0.35">
      <c r="B3" s="32"/>
      <c r="C3" s="27"/>
      <c r="D3" s="27"/>
      <c r="E3" s="27"/>
      <c r="F3" s="30"/>
      <c r="G3" s="31"/>
      <c r="H3" s="30"/>
      <c r="I3" s="30"/>
      <c r="J3" s="30"/>
      <c r="K3" s="30"/>
      <c r="L3" s="30"/>
      <c r="M3" s="30"/>
      <c r="N3" s="30"/>
      <c r="O3" s="30"/>
      <c r="P3" s="30"/>
      <c r="Q3" s="30"/>
      <c r="S3" s="70"/>
      <c r="T3" s="29"/>
      <c r="U3" s="27"/>
      <c r="V3" s="27"/>
      <c r="W3" s="27"/>
      <c r="X3" s="27"/>
      <c r="Y3" s="27"/>
      <c r="Z3" s="2"/>
      <c r="AA3" s="2"/>
      <c r="AB3" s="2"/>
      <c r="AC3" s="2"/>
      <c r="AD3" s="2"/>
      <c r="AE3" s="2"/>
    </row>
    <row r="4" spans="2:31" s="27" customFormat="1" ht="24" customHeight="1" thickBot="1" x14ac:dyDescent="0.4">
      <c r="B4" s="161"/>
      <c r="C4" s="161"/>
      <c r="D4" s="161"/>
      <c r="E4" s="161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77" t="s">
        <v>22</v>
      </c>
      <c r="S4" s="70"/>
      <c r="T4" s="77" t="str">
        <f>Dashboard!X2</f>
        <v>Aug</v>
      </c>
    </row>
    <row r="5" spans="2:31" ht="19.5" customHeight="1" thickBot="1" x14ac:dyDescent="0.4">
      <c r="B5" s="56" t="s">
        <v>18</v>
      </c>
      <c r="C5" s="162" t="s">
        <v>24</v>
      </c>
      <c r="D5" s="162"/>
      <c r="E5" s="162"/>
      <c r="F5" s="56" t="s">
        <v>0</v>
      </c>
      <c r="G5" s="56" t="s">
        <v>1</v>
      </c>
      <c r="H5" s="56" t="s">
        <v>2</v>
      </c>
      <c r="I5" s="56" t="s">
        <v>5</v>
      </c>
      <c r="J5" s="56" t="s">
        <v>9</v>
      </c>
      <c r="K5" s="56" t="s">
        <v>6</v>
      </c>
      <c r="L5" s="56" t="s">
        <v>7</v>
      </c>
      <c r="M5" s="56" t="s">
        <v>8</v>
      </c>
      <c r="N5" s="56" t="s">
        <v>10</v>
      </c>
      <c r="O5" s="56" t="s">
        <v>11</v>
      </c>
      <c r="P5" s="56" t="s">
        <v>12</v>
      </c>
      <c r="Q5" s="82" t="s">
        <v>13</v>
      </c>
      <c r="R5" s="81" t="s">
        <v>23</v>
      </c>
      <c r="S5" s="71"/>
      <c r="T5" s="83"/>
      <c r="U5" s="29"/>
      <c r="V5" s="29"/>
      <c r="W5" s="29"/>
      <c r="X5" s="29"/>
      <c r="Y5" s="29"/>
      <c r="Z5" s="2"/>
      <c r="AA5" s="2"/>
      <c r="AB5" s="2"/>
      <c r="AC5" s="2"/>
      <c r="AD5" s="2"/>
      <c r="AE5" s="2"/>
    </row>
    <row r="6" spans="2:31" ht="15" customHeight="1" x14ac:dyDescent="0.35">
      <c r="B6" s="53">
        <v>1</v>
      </c>
      <c r="C6" s="160" t="s">
        <v>25</v>
      </c>
      <c r="D6" s="160"/>
      <c r="E6" s="160"/>
      <c r="F6" s="91">
        <v>0.08</v>
      </c>
      <c r="G6" s="91">
        <v>0.09</v>
      </c>
      <c r="H6" s="91">
        <v>0.11</v>
      </c>
      <c r="I6" s="91">
        <v>7.5499999999999998E-2</v>
      </c>
      <c r="J6" s="91">
        <v>4.9799999999999997E-2</v>
      </c>
      <c r="K6" s="91">
        <v>0.12</v>
      </c>
      <c r="L6" s="91">
        <v>0.13</v>
      </c>
      <c r="M6" s="91">
        <v>4.99E-2</v>
      </c>
      <c r="N6" s="91">
        <v>7.0000000000000007E-2</v>
      </c>
      <c r="O6" s="91">
        <v>8.5500000000000007E-2</v>
      </c>
      <c r="P6" s="91">
        <v>0.12</v>
      </c>
      <c r="Q6" s="92">
        <v>0.17</v>
      </c>
      <c r="R6" s="114">
        <f t="shared" ref="R6:R21" si="0">IF($F$5=$T$4,F6,IF($G$5=$T$4,G6,IF($H$5=$T$4,H6,IF($I$5=$T$4,I6,IF($J$5=$T$4,J6,IF($K$5=$T$4,K6,IF($L$5=$T$4,L6,IF($M$5=$T$4,M6,IF($N$5=$T$4,N6,IF($O$5=$T$4,O6,IF($P$5=$T$4,P6,Q6)))))))))))</f>
        <v>4.99E-2</v>
      </c>
      <c r="S6" s="72"/>
      <c r="T6" s="84">
        <f t="shared" ref="T6:T21" si="1">IFERROR(IF($T$4=$F$5,0,IF($T$4=$G$5,G6/F6-1,IF($T$4=$H$5,H6/G6-1,IF($T$4=$I$5,I6/H6-1,IF($T$4=$J$5,J6/I6-1,IF($T$4=$K$5,K6/J6-1,IF($T$4=$L$5,L6/K6-1,IF($T$4=$M$5,M6/L6-1,IF($T$4=$N$5,N6/M6-1,IF($T$4=$O$5,O6/N6-1,IF($T$4=$P$5,P6/O6-1,IF($T$4=$Q$5,Q6/P6-1,"")))))))))))),0)</f>
        <v>-0.61615384615384616</v>
      </c>
      <c r="U6" s="43"/>
      <c r="V6" s="29"/>
      <c r="W6" s="29"/>
      <c r="X6" s="29"/>
      <c r="Y6" s="29"/>
      <c r="Z6" s="2"/>
      <c r="AA6" s="2"/>
      <c r="AB6" s="2"/>
      <c r="AC6" s="2"/>
      <c r="AD6" s="2"/>
      <c r="AE6" s="2"/>
    </row>
    <row r="7" spans="2:31" ht="15" customHeight="1" x14ac:dyDescent="0.35">
      <c r="B7" s="54">
        <v>2</v>
      </c>
      <c r="C7" s="156" t="s">
        <v>26</v>
      </c>
      <c r="D7" s="157"/>
      <c r="E7" s="158"/>
      <c r="F7" s="93">
        <v>1530</v>
      </c>
      <c r="G7" s="93">
        <v>1413</v>
      </c>
      <c r="H7" s="93">
        <v>1052</v>
      </c>
      <c r="I7" s="93">
        <v>1405</v>
      </c>
      <c r="J7" s="93">
        <v>1207</v>
      </c>
      <c r="K7" s="93">
        <v>1180</v>
      </c>
      <c r="L7" s="93">
        <v>1349</v>
      </c>
      <c r="M7" s="93">
        <v>1288</v>
      </c>
      <c r="N7" s="93">
        <v>1545</v>
      </c>
      <c r="O7" s="93">
        <v>1336</v>
      </c>
      <c r="P7" s="94">
        <v>1000</v>
      </c>
      <c r="Q7" s="95">
        <v>1400</v>
      </c>
      <c r="R7" s="115">
        <f t="shared" si="0"/>
        <v>1288</v>
      </c>
      <c r="S7" s="73"/>
      <c r="T7" s="84">
        <f t="shared" si="1"/>
        <v>-4.5218680504077069E-2</v>
      </c>
      <c r="U7" s="27"/>
      <c r="V7" s="29"/>
      <c r="W7" s="29"/>
      <c r="X7" s="29"/>
      <c r="Y7" s="29"/>
      <c r="Z7" s="2"/>
      <c r="AA7" s="2"/>
      <c r="AB7" s="2"/>
      <c r="AC7" s="2"/>
      <c r="AD7" s="2"/>
      <c r="AE7" s="2"/>
    </row>
    <row r="8" spans="2:31" ht="15" customHeight="1" x14ac:dyDescent="0.35">
      <c r="B8" s="54">
        <v>3</v>
      </c>
      <c r="C8" s="160" t="s">
        <v>27</v>
      </c>
      <c r="D8" s="160"/>
      <c r="E8" s="160"/>
      <c r="F8" s="96">
        <v>0.56000000000000005</v>
      </c>
      <c r="G8" s="96">
        <v>0.57999999999999996</v>
      </c>
      <c r="H8" s="96">
        <v>0.41</v>
      </c>
      <c r="I8" s="96">
        <v>0.84</v>
      </c>
      <c r="J8" s="96">
        <v>0.74</v>
      </c>
      <c r="K8" s="96">
        <v>0.77</v>
      </c>
      <c r="L8" s="96">
        <v>0.71</v>
      </c>
      <c r="M8" s="96">
        <v>0.79</v>
      </c>
      <c r="N8" s="96">
        <v>0.31</v>
      </c>
      <c r="O8" s="96">
        <v>0.43</v>
      </c>
      <c r="P8" s="96">
        <v>0.68</v>
      </c>
      <c r="Q8" s="97">
        <v>0.38</v>
      </c>
      <c r="R8" s="114">
        <f t="shared" si="0"/>
        <v>0.79</v>
      </c>
      <c r="S8" s="74"/>
      <c r="T8" s="84">
        <f t="shared" si="1"/>
        <v>0.11267605633802824</v>
      </c>
      <c r="U8" s="27"/>
      <c r="V8" s="29"/>
      <c r="W8" s="29"/>
      <c r="X8" s="29"/>
      <c r="Y8" s="29"/>
      <c r="Z8" s="2"/>
      <c r="AA8" s="2"/>
      <c r="AB8" s="2"/>
      <c r="AC8" s="2"/>
      <c r="AD8" s="2"/>
      <c r="AE8" s="2"/>
    </row>
    <row r="9" spans="2:31" ht="15" customHeight="1" x14ac:dyDescent="0.35">
      <c r="B9" s="53">
        <v>4</v>
      </c>
      <c r="C9" s="160" t="s">
        <v>28</v>
      </c>
      <c r="D9" s="160"/>
      <c r="E9" s="160"/>
      <c r="F9" s="96">
        <v>0.76</v>
      </c>
      <c r="G9" s="96">
        <v>0.7</v>
      </c>
      <c r="H9" s="96">
        <v>0.64</v>
      </c>
      <c r="I9" s="96">
        <v>0.68</v>
      </c>
      <c r="J9" s="96">
        <v>0.69</v>
      </c>
      <c r="K9" s="96">
        <v>0.74</v>
      </c>
      <c r="L9" s="96">
        <v>0.85</v>
      </c>
      <c r="M9" s="96">
        <v>0.8</v>
      </c>
      <c r="N9" s="96">
        <v>0.84</v>
      </c>
      <c r="O9" s="96">
        <v>0.74</v>
      </c>
      <c r="P9" s="96">
        <v>0.65</v>
      </c>
      <c r="Q9" s="97">
        <v>0.8</v>
      </c>
      <c r="R9" s="114">
        <f t="shared" si="0"/>
        <v>0.8</v>
      </c>
      <c r="S9" s="74"/>
      <c r="T9" s="84">
        <f t="shared" si="1"/>
        <v>-5.8823529411764608E-2</v>
      </c>
      <c r="U9" s="27"/>
      <c r="V9" s="29"/>
      <c r="W9" s="29"/>
      <c r="X9" s="29"/>
      <c r="Y9" s="29"/>
      <c r="Z9" s="2"/>
      <c r="AA9" s="2"/>
      <c r="AB9" s="2"/>
      <c r="AC9" s="2"/>
      <c r="AD9" s="2"/>
      <c r="AE9" s="2"/>
    </row>
    <row r="10" spans="2:31" ht="15" customHeight="1" x14ac:dyDescent="0.35">
      <c r="B10" s="54">
        <v>5</v>
      </c>
      <c r="C10" s="160" t="s">
        <v>29</v>
      </c>
      <c r="D10" s="160"/>
      <c r="E10" s="160"/>
      <c r="F10" s="96">
        <v>0.78</v>
      </c>
      <c r="G10" s="96">
        <v>0.74</v>
      </c>
      <c r="H10" s="96">
        <v>0.8</v>
      </c>
      <c r="I10" s="96">
        <v>0.93</v>
      </c>
      <c r="J10" s="96">
        <v>0.85</v>
      </c>
      <c r="K10" s="96">
        <v>0.94</v>
      </c>
      <c r="L10" s="96">
        <v>0.9</v>
      </c>
      <c r="M10" s="96">
        <v>0.71</v>
      </c>
      <c r="N10" s="96">
        <v>0.92</v>
      </c>
      <c r="O10" s="96">
        <v>0.87</v>
      </c>
      <c r="P10" s="96">
        <v>0.73</v>
      </c>
      <c r="Q10" s="97">
        <v>0.9</v>
      </c>
      <c r="R10" s="114">
        <f t="shared" si="0"/>
        <v>0.71</v>
      </c>
      <c r="S10" s="74"/>
      <c r="T10" s="84">
        <f t="shared" si="1"/>
        <v>-0.21111111111111114</v>
      </c>
      <c r="U10" s="27"/>
      <c r="V10" s="29"/>
      <c r="W10" s="29"/>
      <c r="X10" s="29"/>
      <c r="Y10" s="29"/>
      <c r="Z10" s="2"/>
      <c r="AA10" s="2"/>
      <c r="AB10" s="2"/>
      <c r="AC10" s="2"/>
      <c r="AD10" s="2"/>
      <c r="AE10" s="2"/>
    </row>
    <row r="11" spans="2:31" ht="15" customHeight="1" x14ac:dyDescent="0.35">
      <c r="B11" s="54">
        <v>6</v>
      </c>
      <c r="C11" s="160" t="s">
        <v>30</v>
      </c>
      <c r="D11" s="160"/>
      <c r="E11" s="160"/>
      <c r="F11" s="91">
        <v>0.45</v>
      </c>
      <c r="G11" s="91">
        <v>0.87</v>
      </c>
      <c r="H11" s="91">
        <v>0.64</v>
      </c>
      <c r="I11" s="91">
        <v>0.25</v>
      </c>
      <c r="J11" s="91">
        <v>0.33</v>
      </c>
      <c r="K11" s="91">
        <v>0.49</v>
      </c>
      <c r="L11" s="91">
        <v>0.68</v>
      </c>
      <c r="M11" s="91">
        <v>0.38</v>
      </c>
      <c r="N11" s="91">
        <v>0.42</v>
      </c>
      <c r="O11" s="91">
        <v>0.52</v>
      </c>
      <c r="P11" s="91">
        <v>0.61</v>
      </c>
      <c r="Q11" s="92">
        <v>0.72</v>
      </c>
      <c r="R11" s="114">
        <f t="shared" si="0"/>
        <v>0.38</v>
      </c>
      <c r="S11" s="72"/>
      <c r="T11" s="84">
        <f t="shared" si="1"/>
        <v>-0.44117647058823528</v>
      </c>
      <c r="U11" s="27"/>
      <c r="V11" s="29"/>
      <c r="W11" s="29"/>
      <c r="X11" s="29"/>
      <c r="Y11" s="29"/>
      <c r="Z11" s="2"/>
      <c r="AA11" s="2"/>
      <c r="AB11" s="2"/>
      <c r="AC11" s="2"/>
      <c r="AD11" s="2"/>
      <c r="AE11" s="2"/>
    </row>
    <row r="12" spans="2:31" ht="15" customHeight="1" x14ac:dyDescent="0.35">
      <c r="B12" s="53">
        <v>7</v>
      </c>
      <c r="C12" s="160" t="s">
        <v>31</v>
      </c>
      <c r="D12" s="160"/>
      <c r="E12" s="160"/>
      <c r="F12" s="98">
        <v>5.0583657587548639E-2</v>
      </c>
      <c r="G12" s="98">
        <v>7.0000000000000007E-2</v>
      </c>
      <c r="H12" s="98">
        <v>0.08</v>
      </c>
      <c r="I12" s="98">
        <v>4.687122493355883E-2</v>
      </c>
      <c r="J12" s="98">
        <v>0.11934349355216882</v>
      </c>
      <c r="K12" s="98">
        <v>8.4789796882380725E-2</v>
      </c>
      <c r="L12" s="98">
        <v>0.09</v>
      </c>
      <c r="M12" s="98">
        <v>0.13053712818317997</v>
      </c>
      <c r="N12" s="98">
        <v>0.10812553740326741</v>
      </c>
      <c r="O12" s="98">
        <v>7.5921375921375919E-2</v>
      </c>
      <c r="P12" s="98">
        <v>0.11</v>
      </c>
      <c r="Q12" s="99">
        <v>0.13</v>
      </c>
      <c r="R12" s="114">
        <f t="shared" si="0"/>
        <v>0.13053712818317997</v>
      </c>
      <c r="S12" s="75"/>
      <c r="T12" s="84">
        <f t="shared" si="1"/>
        <v>0.45041253536866632</v>
      </c>
      <c r="U12" s="27"/>
      <c r="V12" s="27"/>
      <c r="W12" s="27"/>
      <c r="X12" s="27"/>
      <c r="Y12" s="27"/>
      <c r="Z12" s="2"/>
      <c r="AA12" s="2"/>
      <c r="AB12" s="2"/>
      <c r="AC12" s="2"/>
      <c r="AD12" s="2"/>
      <c r="AE12" s="2"/>
    </row>
    <row r="13" spans="2:31" ht="15" customHeight="1" x14ac:dyDescent="0.35">
      <c r="B13" s="54">
        <v>8</v>
      </c>
      <c r="C13" s="160" t="s">
        <v>32</v>
      </c>
      <c r="D13" s="160"/>
      <c r="E13" s="160"/>
      <c r="F13" s="100">
        <v>10</v>
      </c>
      <c r="G13" s="100">
        <v>14</v>
      </c>
      <c r="H13" s="100">
        <v>6</v>
      </c>
      <c r="I13" s="100">
        <v>3</v>
      </c>
      <c r="J13" s="100">
        <v>6</v>
      </c>
      <c r="K13" s="100">
        <v>7</v>
      </c>
      <c r="L13" s="100">
        <v>8</v>
      </c>
      <c r="M13" s="100">
        <v>9</v>
      </c>
      <c r="N13" s="100">
        <v>10</v>
      </c>
      <c r="O13" s="100">
        <v>8</v>
      </c>
      <c r="P13" s="100">
        <v>10</v>
      </c>
      <c r="Q13" s="101">
        <v>8</v>
      </c>
      <c r="R13" s="115">
        <f t="shared" si="0"/>
        <v>9</v>
      </c>
      <c r="S13" s="73"/>
      <c r="T13" s="84">
        <f t="shared" si="1"/>
        <v>0.125</v>
      </c>
      <c r="U13" s="27"/>
      <c r="V13" s="27"/>
      <c r="W13" s="27"/>
      <c r="X13" s="27"/>
      <c r="Y13" s="27"/>
      <c r="Z13" s="2"/>
      <c r="AA13" s="2"/>
      <c r="AB13" s="2"/>
      <c r="AC13" s="2"/>
      <c r="AD13" s="2"/>
      <c r="AE13" s="2"/>
    </row>
    <row r="14" spans="2:31" ht="15" customHeight="1" x14ac:dyDescent="0.35">
      <c r="B14" s="54">
        <v>9</v>
      </c>
      <c r="C14" s="156" t="s">
        <v>33</v>
      </c>
      <c r="D14" s="157"/>
      <c r="E14" s="158"/>
      <c r="F14" s="91">
        <v>0.42109999999999997</v>
      </c>
      <c r="G14" s="91">
        <v>0.23669999999999999</v>
      </c>
      <c r="H14" s="91">
        <v>0.55759999999999998</v>
      </c>
      <c r="I14" s="91">
        <v>0.61119999999999997</v>
      </c>
      <c r="J14" s="91">
        <v>0.78769999999999996</v>
      </c>
      <c r="K14" s="91">
        <v>0.38719999999999999</v>
      </c>
      <c r="L14" s="91">
        <v>0.46379999999999999</v>
      </c>
      <c r="M14" s="91">
        <v>0.44</v>
      </c>
      <c r="N14" s="91">
        <v>0.52</v>
      </c>
      <c r="O14" s="91">
        <v>0.46</v>
      </c>
      <c r="P14" s="91">
        <v>0.71</v>
      </c>
      <c r="Q14" s="92">
        <v>0.53</v>
      </c>
      <c r="R14" s="114">
        <f t="shared" si="0"/>
        <v>0.44</v>
      </c>
      <c r="S14" s="72"/>
      <c r="T14" s="84">
        <f t="shared" si="1"/>
        <v>-5.1315222078482048E-2</v>
      </c>
      <c r="U14" s="27"/>
      <c r="V14" s="27"/>
      <c r="W14" s="27"/>
      <c r="X14" s="27"/>
      <c r="Y14" s="27"/>
      <c r="Z14" s="2"/>
      <c r="AA14" s="2"/>
      <c r="AB14" s="2"/>
      <c r="AC14" s="2"/>
      <c r="AD14" s="2"/>
      <c r="AE14" s="2"/>
    </row>
    <row r="15" spans="2:31" ht="15" customHeight="1" thickBot="1" x14ac:dyDescent="0.4">
      <c r="B15" s="90">
        <v>10</v>
      </c>
      <c r="C15" s="153" t="s">
        <v>34</v>
      </c>
      <c r="D15" s="154"/>
      <c r="E15" s="155"/>
      <c r="F15" s="102">
        <v>0.15</v>
      </c>
      <c r="G15" s="102">
        <v>0.12</v>
      </c>
      <c r="H15" s="102">
        <v>0.08</v>
      </c>
      <c r="I15" s="102">
        <v>0.09</v>
      </c>
      <c r="J15" s="102">
        <v>0.1</v>
      </c>
      <c r="K15" s="102">
        <v>0.05</v>
      </c>
      <c r="L15" s="102">
        <v>0.11</v>
      </c>
      <c r="M15" s="102">
        <v>0.08</v>
      </c>
      <c r="N15" s="102">
        <v>0.09</v>
      </c>
      <c r="O15" s="102">
        <v>0.12</v>
      </c>
      <c r="P15" s="102">
        <v>0.18</v>
      </c>
      <c r="Q15" s="103">
        <v>0.25</v>
      </c>
      <c r="R15" s="114">
        <f t="shared" si="0"/>
        <v>0.08</v>
      </c>
      <c r="S15" s="74"/>
      <c r="T15" s="84">
        <f t="shared" si="1"/>
        <v>-0.27272727272727271</v>
      </c>
      <c r="U15" s="27"/>
      <c r="V15" s="27"/>
      <c r="W15" s="27"/>
      <c r="X15" s="27"/>
      <c r="Y15" s="27"/>
      <c r="Z15" s="2"/>
      <c r="AA15" s="2"/>
      <c r="AB15" s="2"/>
      <c r="AC15" s="2"/>
      <c r="AD15" s="2"/>
      <c r="AE15" s="2"/>
    </row>
    <row r="16" spans="2:31" ht="15" customHeight="1" x14ac:dyDescent="0.35">
      <c r="B16" s="140" t="s">
        <v>43</v>
      </c>
      <c r="C16" s="147" t="s">
        <v>35</v>
      </c>
      <c r="D16" s="147"/>
      <c r="E16" s="148"/>
      <c r="F16" s="104">
        <v>0.18</v>
      </c>
      <c r="G16" s="104">
        <v>0.15</v>
      </c>
      <c r="H16" s="104">
        <v>0.08</v>
      </c>
      <c r="I16" s="104">
        <v>0.09</v>
      </c>
      <c r="J16" s="104">
        <v>0.12</v>
      </c>
      <c r="K16" s="104">
        <v>0.05</v>
      </c>
      <c r="L16" s="104">
        <v>0.1</v>
      </c>
      <c r="M16" s="104">
        <v>0.16</v>
      </c>
      <c r="N16" s="104">
        <v>0.12</v>
      </c>
      <c r="O16" s="104">
        <v>0.09</v>
      </c>
      <c r="P16" s="104">
        <v>0.15</v>
      </c>
      <c r="Q16" s="105">
        <v>0.11</v>
      </c>
      <c r="R16" s="114">
        <f t="shared" si="0"/>
        <v>0.16</v>
      </c>
      <c r="S16" s="75"/>
      <c r="T16" s="84">
        <f t="shared" si="1"/>
        <v>0.59999999999999987</v>
      </c>
      <c r="U16" s="27"/>
      <c r="V16" s="27"/>
      <c r="W16" s="27"/>
      <c r="X16" s="27"/>
      <c r="Y16" s="27"/>
      <c r="Z16" s="2"/>
      <c r="AA16" s="2"/>
      <c r="AB16" s="2"/>
      <c r="AC16" s="2"/>
      <c r="AD16" s="2"/>
      <c r="AE16" s="2"/>
    </row>
    <row r="17" spans="2:31" ht="15" customHeight="1" x14ac:dyDescent="0.35">
      <c r="B17" s="140"/>
      <c r="C17" s="149" t="s">
        <v>36</v>
      </c>
      <c r="D17" s="149"/>
      <c r="E17" s="150"/>
      <c r="F17" s="106">
        <v>0.85</v>
      </c>
      <c r="G17" s="106">
        <v>0.79669999999999996</v>
      </c>
      <c r="H17" s="106">
        <v>0.45760000000000001</v>
      </c>
      <c r="I17" s="106">
        <v>0.48</v>
      </c>
      <c r="J17" s="106">
        <v>0.72929999999999995</v>
      </c>
      <c r="K17" s="106">
        <v>0.68330000000000002</v>
      </c>
      <c r="L17" s="106">
        <v>0.5998</v>
      </c>
      <c r="M17" s="106">
        <v>0.61129999999999995</v>
      </c>
      <c r="N17" s="106">
        <v>0.67800000000000005</v>
      </c>
      <c r="O17" s="106">
        <v>0.76700000000000002</v>
      </c>
      <c r="P17" s="106">
        <v>0.871</v>
      </c>
      <c r="Q17" s="107">
        <v>0.92330000000000001</v>
      </c>
      <c r="R17" s="114">
        <f t="shared" si="0"/>
        <v>0.61129999999999995</v>
      </c>
      <c r="S17" s="75"/>
      <c r="T17" s="84">
        <f t="shared" si="1"/>
        <v>1.9173057685895278E-2</v>
      </c>
      <c r="U17" s="27"/>
      <c r="V17" s="27"/>
      <c r="W17" s="27"/>
      <c r="X17" s="27"/>
      <c r="Y17" s="27"/>
      <c r="Z17" s="2"/>
      <c r="AA17" s="2"/>
      <c r="AB17" s="2"/>
      <c r="AC17" s="2"/>
      <c r="AD17" s="2"/>
      <c r="AE17" s="2"/>
    </row>
    <row r="18" spans="2:31" ht="15" customHeight="1" thickBot="1" x14ac:dyDescent="0.4">
      <c r="B18" s="141"/>
      <c r="C18" s="151" t="s">
        <v>37</v>
      </c>
      <c r="D18" s="151"/>
      <c r="E18" s="152"/>
      <c r="F18" s="108">
        <v>0.5</v>
      </c>
      <c r="G18" s="108">
        <v>0.42</v>
      </c>
      <c r="H18" s="108">
        <v>0.38</v>
      </c>
      <c r="I18" s="108">
        <v>0.67</v>
      </c>
      <c r="J18" s="108">
        <v>0.37</v>
      </c>
      <c r="K18" s="108">
        <v>0.56999999999999995</v>
      </c>
      <c r="L18" s="108">
        <v>0.92</v>
      </c>
      <c r="M18" s="108">
        <v>0.9</v>
      </c>
      <c r="N18" s="108">
        <v>0.71</v>
      </c>
      <c r="O18" s="108">
        <v>0.31</v>
      </c>
      <c r="P18" s="108">
        <v>0.68</v>
      </c>
      <c r="Q18" s="109">
        <v>0.81</v>
      </c>
      <c r="R18" s="114">
        <f t="shared" si="0"/>
        <v>0.9</v>
      </c>
      <c r="S18" s="75"/>
      <c r="T18" s="84">
        <f t="shared" si="1"/>
        <v>-2.1739130434782594E-2</v>
      </c>
      <c r="U18" s="27"/>
      <c r="V18" s="27"/>
      <c r="W18" s="27"/>
      <c r="X18" s="27"/>
      <c r="Y18" s="27"/>
      <c r="Z18" s="2"/>
      <c r="AA18" s="2"/>
      <c r="AB18" s="2"/>
      <c r="AC18" s="2"/>
      <c r="AD18" s="2"/>
      <c r="AE18" s="2"/>
    </row>
    <row r="19" spans="2:31" ht="16" x14ac:dyDescent="0.35">
      <c r="B19" s="142" t="s">
        <v>44</v>
      </c>
      <c r="C19" s="144" t="s">
        <v>42</v>
      </c>
      <c r="D19" s="145"/>
      <c r="E19" s="146"/>
      <c r="F19" s="110">
        <v>16</v>
      </c>
      <c r="G19" s="110">
        <v>20</v>
      </c>
      <c r="H19" s="110">
        <v>18</v>
      </c>
      <c r="I19" s="110">
        <v>18</v>
      </c>
      <c r="J19" s="110">
        <v>16</v>
      </c>
      <c r="K19" s="110">
        <v>16</v>
      </c>
      <c r="L19" s="110">
        <v>15</v>
      </c>
      <c r="M19" s="110">
        <v>20</v>
      </c>
      <c r="N19" s="110">
        <v>17</v>
      </c>
      <c r="O19" s="110">
        <v>16</v>
      </c>
      <c r="P19" s="110">
        <v>18</v>
      </c>
      <c r="Q19" s="111">
        <v>18</v>
      </c>
      <c r="R19" s="115">
        <f t="shared" si="0"/>
        <v>20</v>
      </c>
      <c r="S19" s="73"/>
      <c r="T19" s="84">
        <f t="shared" si="1"/>
        <v>0.33333333333333326</v>
      </c>
    </row>
    <row r="20" spans="2:31" ht="16" x14ac:dyDescent="0.35">
      <c r="B20" s="142"/>
      <c r="C20" s="137" t="s">
        <v>40</v>
      </c>
      <c r="D20" s="138"/>
      <c r="E20" s="139"/>
      <c r="F20" s="112">
        <v>17</v>
      </c>
      <c r="G20" s="112">
        <v>20</v>
      </c>
      <c r="H20" s="112">
        <v>15</v>
      </c>
      <c r="I20" s="112">
        <v>18</v>
      </c>
      <c r="J20" s="112">
        <v>16</v>
      </c>
      <c r="K20" s="112">
        <v>16</v>
      </c>
      <c r="L20" s="112">
        <v>20</v>
      </c>
      <c r="M20" s="112">
        <v>15</v>
      </c>
      <c r="N20" s="112">
        <v>20</v>
      </c>
      <c r="O20" s="112">
        <v>20</v>
      </c>
      <c r="P20" s="112">
        <v>18</v>
      </c>
      <c r="Q20" s="113">
        <v>17</v>
      </c>
      <c r="R20" s="115">
        <f t="shared" si="0"/>
        <v>15</v>
      </c>
      <c r="S20" s="73"/>
      <c r="T20" s="84">
        <f t="shared" si="1"/>
        <v>-0.25</v>
      </c>
    </row>
    <row r="21" spans="2:31" ht="16" x14ac:dyDescent="0.35">
      <c r="B21" s="143"/>
      <c r="C21" s="137" t="s">
        <v>19</v>
      </c>
      <c r="D21" s="138"/>
      <c r="E21" s="139"/>
      <c r="F21" s="112">
        <f>SUM(F19:F20)</f>
        <v>33</v>
      </c>
      <c r="G21" s="112">
        <f t="shared" ref="G21:Q21" si="2">SUM(G19:G20)</f>
        <v>40</v>
      </c>
      <c r="H21" s="112">
        <f t="shared" si="2"/>
        <v>33</v>
      </c>
      <c r="I21" s="112">
        <f t="shared" si="2"/>
        <v>36</v>
      </c>
      <c r="J21" s="112">
        <f t="shared" si="2"/>
        <v>32</v>
      </c>
      <c r="K21" s="112">
        <f t="shared" si="2"/>
        <v>32</v>
      </c>
      <c r="L21" s="112">
        <f t="shared" si="2"/>
        <v>35</v>
      </c>
      <c r="M21" s="112">
        <f t="shared" si="2"/>
        <v>35</v>
      </c>
      <c r="N21" s="112">
        <f t="shared" si="2"/>
        <v>37</v>
      </c>
      <c r="O21" s="112">
        <f t="shared" si="2"/>
        <v>36</v>
      </c>
      <c r="P21" s="112">
        <f t="shared" si="2"/>
        <v>36</v>
      </c>
      <c r="Q21" s="113">
        <f t="shared" si="2"/>
        <v>35</v>
      </c>
      <c r="R21" s="115">
        <f t="shared" si="0"/>
        <v>35</v>
      </c>
      <c r="S21" s="73"/>
      <c r="T21" s="84">
        <f t="shared" si="1"/>
        <v>0</v>
      </c>
    </row>
    <row r="24" spans="2:31" x14ac:dyDescent="0.35">
      <c r="M24" s="4" t="s">
        <v>51</v>
      </c>
    </row>
  </sheetData>
  <mergeCells count="21">
    <mergeCell ref="C15:E15"/>
    <mergeCell ref="C14:E14"/>
    <mergeCell ref="B2:E2"/>
    <mergeCell ref="C6:E6"/>
    <mergeCell ref="C7:E7"/>
    <mergeCell ref="C8:E8"/>
    <mergeCell ref="C9:E9"/>
    <mergeCell ref="C11:E11"/>
    <mergeCell ref="C13:E13"/>
    <mergeCell ref="C10:E10"/>
    <mergeCell ref="B4:E4"/>
    <mergeCell ref="C5:E5"/>
    <mergeCell ref="C12:E12"/>
    <mergeCell ref="C21:E21"/>
    <mergeCell ref="B16:B18"/>
    <mergeCell ref="B19:B21"/>
    <mergeCell ref="C20:E20"/>
    <mergeCell ref="C19:E19"/>
    <mergeCell ref="C16:E16"/>
    <mergeCell ref="C17:E17"/>
    <mergeCell ref="C18:E18"/>
  </mergeCells>
  <phoneticPr fontId="18" type="noConversion"/>
  <pageMargins left="0.25" right="0.25" top="0.75" bottom="0.75" header="0.3" footer="0.3"/>
  <pageSetup scale="68" orientation="landscape" r:id="rId1"/>
  <colBreaks count="1" manualBreakCount="1">
    <brk id="18" max="1048575" man="1"/>
  </colBreaks>
  <ignoredErrors>
    <ignoredError sqref="F21:Q21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7BDBE-7E21-4CA6-8312-075F5D614036}">
  <dimension ref="B1:X27"/>
  <sheetViews>
    <sheetView showGridLines="0" topLeftCell="B5" zoomScale="160" zoomScaleNormal="160" workbookViewId="0">
      <selection activeCell="G16" sqref="G16"/>
    </sheetView>
  </sheetViews>
  <sheetFormatPr defaultRowHeight="14.5" x14ac:dyDescent="0.35"/>
  <cols>
    <col min="1" max="1" width="1.1796875" customWidth="1"/>
    <col min="5" max="5" width="6.26953125" customWidth="1"/>
    <col min="6" max="7" width="7.453125" customWidth="1"/>
    <col min="8" max="9" width="5.1796875" bestFit="1" customWidth="1"/>
    <col min="10" max="10" width="5.26953125" bestFit="1" customWidth="1"/>
    <col min="11" max="15" width="5.1796875" bestFit="1" customWidth="1"/>
    <col min="16" max="17" width="5.54296875" bestFit="1" customWidth="1"/>
    <col min="18" max="18" width="3.453125" customWidth="1"/>
    <col min="19" max="19" width="2.26953125" customWidth="1"/>
    <col min="20" max="20" width="13.453125" customWidth="1"/>
    <col min="21" max="21" width="0.7265625" style="118" customWidth="1"/>
    <col min="22" max="22" width="12.81640625" bestFit="1" customWidth="1"/>
    <col min="23" max="23" width="0.7265625" style="118" customWidth="1"/>
    <col min="24" max="24" width="10.1796875" customWidth="1"/>
  </cols>
  <sheetData>
    <row r="1" spans="2:24" ht="5.25" customHeight="1" x14ac:dyDescent="0.35"/>
    <row r="2" spans="2:24" ht="5.25" customHeight="1" x14ac:dyDescent="0.35"/>
    <row r="3" spans="2:24" ht="5.25" customHeight="1" x14ac:dyDescent="0.35"/>
    <row r="4" spans="2:24" ht="18" customHeight="1" x14ac:dyDescent="0.35">
      <c r="T4" s="117" t="str">
        <f>Dashboard!X2</f>
        <v>Aug</v>
      </c>
      <c r="U4" s="119"/>
      <c r="W4" s="119"/>
    </row>
    <row r="5" spans="2:24" ht="16.5" thickBot="1" x14ac:dyDescent="0.4">
      <c r="B5" s="56" t="str">
        <f>Data!B5</f>
        <v>ID</v>
      </c>
      <c r="C5" s="162" t="str">
        <f>Data!C5</f>
        <v>KPI</v>
      </c>
      <c r="D5" s="162"/>
      <c r="E5" s="162"/>
      <c r="F5" s="56" t="str">
        <f>Data!F5</f>
        <v>Jan</v>
      </c>
      <c r="G5" s="56" t="str">
        <f>Data!G5</f>
        <v>Feb</v>
      </c>
      <c r="H5" s="56" t="str">
        <f>Data!H5</f>
        <v>Mar</v>
      </c>
      <c r="I5" s="56" t="str">
        <f>Data!I5</f>
        <v>Apr</v>
      </c>
      <c r="J5" s="56" t="str">
        <f>Data!J5</f>
        <v>May</v>
      </c>
      <c r="K5" s="56" t="str">
        <f>Data!K5</f>
        <v>Jun</v>
      </c>
      <c r="L5" s="56" t="str">
        <f>Data!L5</f>
        <v>Jul</v>
      </c>
      <c r="M5" s="56" t="str">
        <f>Data!M5</f>
        <v>Aug</v>
      </c>
      <c r="N5" s="56" t="str">
        <f>Data!N5</f>
        <v>Sep</v>
      </c>
      <c r="O5" s="56" t="str">
        <f>Data!O5</f>
        <v>Oct</v>
      </c>
      <c r="P5" s="56" t="str">
        <f>Data!P5</f>
        <v>Nov</v>
      </c>
      <c r="Q5" s="56" t="str">
        <f>Data!Q5</f>
        <v>Dec</v>
      </c>
      <c r="T5" s="126" t="s">
        <v>47</v>
      </c>
      <c r="U5" s="120"/>
      <c r="V5" s="133" t="s">
        <v>48</v>
      </c>
      <c r="W5" s="120"/>
      <c r="X5" s="126" t="s">
        <v>49</v>
      </c>
    </row>
    <row r="6" spans="2:24" ht="16" x14ac:dyDescent="0.35">
      <c r="B6" s="53">
        <f>Data!B6</f>
        <v>1</v>
      </c>
      <c r="C6" s="160" t="str">
        <f>Data!C6</f>
        <v>Absence rate</v>
      </c>
      <c r="D6" s="160"/>
      <c r="E6" s="160"/>
      <c r="F6" s="91">
        <f>Data!F6</f>
        <v>0.08</v>
      </c>
      <c r="G6" s="91">
        <f>Data!G6</f>
        <v>0.09</v>
      </c>
      <c r="H6" s="91">
        <f>Data!H6</f>
        <v>0.11</v>
      </c>
      <c r="I6" s="91">
        <f>Data!I6</f>
        <v>7.5499999999999998E-2</v>
      </c>
      <c r="J6" s="91">
        <f>Data!J6</f>
        <v>4.9799999999999997E-2</v>
      </c>
      <c r="K6" s="91">
        <f>Data!K6</f>
        <v>0.12</v>
      </c>
      <c r="L6" s="91">
        <f>Data!L6</f>
        <v>0.13</v>
      </c>
      <c r="M6" s="91">
        <f>Data!M6</f>
        <v>4.99E-2</v>
      </c>
      <c r="N6" s="91">
        <f>Data!N6</f>
        <v>7.0000000000000007E-2</v>
      </c>
      <c r="O6" s="91">
        <f>Data!O6</f>
        <v>8.5500000000000007E-2</v>
      </c>
      <c r="P6" s="91">
        <f>Data!P6</f>
        <v>0.12</v>
      </c>
      <c r="Q6" s="92">
        <f>Data!Q6</f>
        <v>0.17</v>
      </c>
      <c r="T6" s="63">
        <f>(V6/X6)-100%</f>
        <v>-0.61615384615384616</v>
      </c>
      <c r="U6" s="121"/>
      <c r="V6" s="123">
        <f>IF($F$5=$T$4,F6,IF($G$5=$T$4,G6,IF($H$5=$T$4,H6,IF($I$5=$T$4,I6,IF($J$5=$T$4,J6,IF($K$5=$T$4,K6,IF($L$5=$T$4,L6,IF($M$5=$T$4,M6,IF($N$5=$T$4,N6,IF($O$5=$T$4,O6,IF($P$5=$T$4,P6,Q6)))))))))))</f>
        <v>4.99E-2</v>
      </c>
      <c r="W6" s="124"/>
      <c r="X6" s="123">
        <f>(IF($T$4=$F$5,F6,IF($T$4=$G$5,F6,IF($T$4=$H$5,G6,IF($T$4=$I$5,H6,IF($T$4=$J$5,I6,IF($T$4=$K$5,J6,IF($T$4=$L$5,K6,IF($T$4=$M$5,L6,IF($T$4=$N$5,M6,IF($T$4=$O$5,N6,IF($T$4=$P$5,O6,IF($T$4=$Q$5,P6,"")))))))))))))</f>
        <v>0.13</v>
      </c>
    </row>
    <row r="7" spans="2:24" ht="16" x14ac:dyDescent="0.35">
      <c r="B7" s="53">
        <f>Data!B7</f>
        <v>2</v>
      </c>
      <c r="C7" s="160" t="str">
        <f>Data!C7</f>
        <v>Absence cost</v>
      </c>
      <c r="D7" s="160"/>
      <c r="E7" s="160"/>
      <c r="F7" s="93">
        <f>Data!F7</f>
        <v>1530</v>
      </c>
      <c r="G7" s="93">
        <f>Data!G7</f>
        <v>1413</v>
      </c>
      <c r="H7" s="93">
        <f>Data!H7</f>
        <v>1052</v>
      </c>
      <c r="I7" s="93">
        <f>Data!I7</f>
        <v>1405</v>
      </c>
      <c r="J7" s="93">
        <f>Data!J7</f>
        <v>1207</v>
      </c>
      <c r="K7" s="93">
        <f>Data!K7</f>
        <v>1180</v>
      </c>
      <c r="L7" s="93">
        <f>Data!L7</f>
        <v>1349</v>
      </c>
      <c r="M7" s="93">
        <f>Data!M7</f>
        <v>1288</v>
      </c>
      <c r="N7" s="93">
        <f>Data!N7</f>
        <v>1545</v>
      </c>
      <c r="O7" s="93">
        <f>Data!O7</f>
        <v>1336</v>
      </c>
      <c r="P7" s="93">
        <f>Data!P7</f>
        <v>1000</v>
      </c>
      <c r="Q7" s="93">
        <f>Data!Q7</f>
        <v>1400</v>
      </c>
      <c r="T7" s="63">
        <f t="shared" ref="T7:T21" si="0">(V7/X7)-100%</f>
        <v>-4.5218680504077069E-2</v>
      </c>
      <c r="U7" s="121"/>
      <c r="V7" s="122">
        <f t="shared" ref="V7:V21" si="1">IF($F$5=$T$4,F7,IF($G$5=$T$4,G7,IF($H$5=$T$4,H7,IF($I$5=$T$4,I7,IF($J$5=$T$4,J7,IF($K$5=$T$4,K7,IF($L$5=$T$4,L7,IF($M$5=$T$4,M7,IF($N$5=$T$4,N7,IF($O$5=$T$4,O7,IF($P$5=$T$4,P7,Q7)))))))))))</f>
        <v>1288</v>
      </c>
      <c r="W7" s="124"/>
      <c r="X7" s="122">
        <f t="shared" ref="X7:X21" si="2">(IF($T$4=$F$5,F7,IF($T$4=$G$5,F7,IF($T$4=$H$5,G7,IF($T$4=$I$5,H7,IF($T$4=$J$5,I7,IF($T$4=$K$5,J7,IF($T$4=$L$5,K7,IF($T$4=$M$5,L7,IF($T$4=$N$5,M7,IF($T$4=$O$5,N7,IF($T$4=$P$5,O7,IF($T$4=$Q$5,P7,"")))))))))))))</f>
        <v>1349</v>
      </c>
    </row>
    <row r="8" spans="2:24" ht="16" x14ac:dyDescent="0.35">
      <c r="B8" s="53">
        <f>Data!B8</f>
        <v>3</v>
      </c>
      <c r="C8" s="160" t="str">
        <f>Data!C8</f>
        <v>Benefits satisfaction</v>
      </c>
      <c r="D8" s="160"/>
      <c r="E8" s="160"/>
      <c r="F8" s="96">
        <f>Data!F8</f>
        <v>0.56000000000000005</v>
      </c>
      <c r="G8" s="96">
        <f>Data!G8</f>
        <v>0.57999999999999996</v>
      </c>
      <c r="H8" s="96">
        <f>Data!H8</f>
        <v>0.41</v>
      </c>
      <c r="I8" s="96">
        <f>Data!I8</f>
        <v>0.84</v>
      </c>
      <c r="J8" s="96">
        <f>Data!J8</f>
        <v>0.74</v>
      </c>
      <c r="K8" s="96">
        <f>Data!K8</f>
        <v>0.77</v>
      </c>
      <c r="L8" s="96">
        <f>Data!L8</f>
        <v>0.71</v>
      </c>
      <c r="M8" s="96">
        <f>Data!M8</f>
        <v>0.79</v>
      </c>
      <c r="N8" s="96">
        <f>Data!N8</f>
        <v>0.31</v>
      </c>
      <c r="O8" s="96">
        <f>Data!O8</f>
        <v>0.43</v>
      </c>
      <c r="P8" s="96">
        <f>Data!P8</f>
        <v>0.68</v>
      </c>
      <c r="Q8" s="97">
        <f>Data!Q8</f>
        <v>0.38</v>
      </c>
      <c r="T8" s="63">
        <f t="shared" si="0"/>
        <v>0.11267605633802824</v>
      </c>
      <c r="U8" s="121"/>
      <c r="V8" s="123">
        <f t="shared" si="1"/>
        <v>0.79</v>
      </c>
      <c r="W8" s="124"/>
      <c r="X8" s="123">
        <f t="shared" si="2"/>
        <v>0.71</v>
      </c>
    </row>
    <row r="9" spans="2:24" ht="16" x14ac:dyDescent="0.35">
      <c r="B9" s="53">
        <f>Data!B9</f>
        <v>4</v>
      </c>
      <c r="C9" s="160" t="str">
        <f>Data!C9</f>
        <v>Productivity rate</v>
      </c>
      <c r="D9" s="160"/>
      <c r="E9" s="160"/>
      <c r="F9" s="96">
        <f>Data!F9</f>
        <v>0.76</v>
      </c>
      <c r="G9" s="96">
        <f>Data!G9</f>
        <v>0.7</v>
      </c>
      <c r="H9" s="96">
        <f>Data!H9</f>
        <v>0.64</v>
      </c>
      <c r="I9" s="96">
        <f>Data!I9</f>
        <v>0.68</v>
      </c>
      <c r="J9" s="96">
        <f>Data!J9</f>
        <v>0.69</v>
      </c>
      <c r="K9" s="96">
        <f>Data!K9</f>
        <v>0.74</v>
      </c>
      <c r="L9" s="96">
        <f>Data!L9</f>
        <v>0.85</v>
      </c>
      <c r="M9" s="96">
        <f>Data!M9</f>
        <v>0.8</v>
      </c>
      <c r="N9" s="96">
        <f>Data!N9</f>
        <v>0.84</v>
      </c>
      <c r="O9" s="96">
        <f>Data!O9</f>
        <v>0.74</v>
      </c>
      <c r="P9" s="96">
        <f>Data!P9</f>
        <v>0.65</v>
      </c>
      <c r="Q9" s="97">
        <f>Data!Q9</f>
        <v>0.8</v>
      </c>
      <c r="T9" s="63">
        <f t="shared" si="0"/>
        <v>-5.8823529411764608E-2</v>
      </c>
      <c r="U9" s="121"/>
      <c r="V9" s="123">
        <f t="shared" si="1"/>
        <v>0.8</v>
      </c>
      <c r="W9" s="124"/>
      <c r="X9" s="123">
        <f t="shared" si="2"/>
        <v>0.85</v>
      </c>
    </row>
    <row r="10" spans="2:24" ht="16" x14ac:dyDescent="0.35">
      <c r="B10" s="53">
        <f>Data!B10</f>
        <v>5</v>
      </c>
      <c r="C10" s="160" t="str">
        <f>Data!C10</f>
        <v>Satisfaction index</v>
      </c>
      <c r="D10" s="160"/>
      <c r="E10" s="160"/>
      <c r="F10" s="96">
        <f>Data!F10</f>
        <v>0.78</v>
      </c>
      <c r="G10" s="96">
        <f>Data!G10</f>
        <v>0.74</v>
      </c>
      <c r="H10" s="96">
        <f>Data!H10</f>
        <v>0.8</v>
      </c>
      <c r="I10" s="96">
        <f>Data!I10</f>
        <v>0.93</v>
      </c>
      <c r="J10" s="96">
        <f>Data!J10</f>
        <v>0.85</v>
      </c>
      <c r="K10" s="96">
        <f>Data!K10</f>
        <v>0.94</v>
      </c>
      <c r="L10" s="96">
        <f>Data!L10</f>
        <v>0.9</v>
      </c>
      <c r="M10" s="96">
        <f>Data!M10</f>
        <v>0.71</v>
      </c>
      <c r="N10" s="96">
        <f>Data!N10</f>
        <v>0.92</v>
      </c>
      <c r="O10" s="96">
        <f>Data!O10</f>
        <v>0.87</v>
      </c>
      <c r="P10" s="96">
        <f>Data!P10</f>
        <v>0.73</v>
      </c>
      <c r="Q10" s="97">
        <f>Data!Q10</f>
        <v>0.9</v>
      </c>
      <c r="T10" s="63">
        <f t="shared" si="0"/>
        <v>-0.21111111111111114</v>
      </c>
      <c r="U10" s="121"/>
      <c r="V10" s="123">
        <f t="shared" si="1"/>
        <v>0.71</v>
      </c>
      <c r="W10" s="124"/>
      <c r="X10" s="123">
        <f t="shared" si="2"/>
        <v>0.9</v>
      </c>
    </row>
    <row r="11" spans="2:24" ht="16" x14ac:dyDescent="0.35">
      <c r="B11" s="53">
        <f>Data!B11</f>
        <v>6</v>
      </c>
      <c r="C11" s="160" t="str">
        <f>Data!C11</f>
        <v>Engagement index</v>
      </c>
      <c r="D11" s="160"/>
      <c r="E11" s="160"/>
      <c r="F11" s="91">
        <f>Data!F11</f>
        <v>0.45</v>
      </c>
      <c r="G11" s="91">
        <f>Data!G11</f>
        <v>0.87</v>
      </c>
      <c r="H11" s="91">
        <f>Data!H11</f>
        <v>0.64</v>
      </c>
      <c r="I11" s="91">
        <f>Data!I11</f>
        <v>0.25</v>
      </c>
      <c r="J11" s="91">
        <f>Data!J11</f>
        <v>0.33</v>
      </c>
      <c r="K11" s="91">
        <f>Data!K11</f>
        <v>0.49</v>
      </c>
      <c r="L11" s="91">
        <f>Data!L11</f>
        <v>0.68</v>
      </c>
      <c r="M11" s="91">
        <f>Data!M11</f>
        <v>0.38</v>
      </c>
      <c r="N11" s="91">
        <f>Data!N11</f>
        <v>0.42</v>
      </c>
      <c r="O11" s="91">
        <f>Data!O11</f>
        <v>0.52</v>
      </c>
      <c r="P11" s="91">
        <f>Data!P11</f>
        <v>0.61</v>
      </c>
      <c r="Q11" s="92">
        <f>Data!Q11</f>
        <v>0.72</v>
      </c>
      <c r="T11" s="63">
        <f t="shared" si="0"/>
        <v>-0.44117647058823528</v>
      </c>
      <c r="U11" s="121"/>
      <c r="V11" s="123">
        <f t="shared" si="1"/>
        <v>0.38</v>
      </c>
      <c r="W11" s="124"/>
      <c r="X11" s="123">
        <f t="shared" si="2"/>
        <v>0.68</v>
      </c>
    </row>
    <row r="12" spans="2:24" ht="16" x14ac:dyDescent="0.35">
      <c r="B12" s="53">
        <f>Data!B12</f>
        <v>7</v>
      </c>
      <c r="C12" s="160" t="str">
        <f>Data!C12</f>
        <v>Internal promotion rate</v>
      </c>
      <c r="D12" s="160"/>
      <c r="E12" s="160"/>
      <c r="F12" s="98">
        <f>Data!F12</f>
        <v>5.0583657587548639E-2</v>
      </c>
      <c r="G12" s="98">
        <f>Data!G12</f>
        <v>7.0000000000000007E-2</v>
      </c>
      <c r="H12" s="98">
        <f>Data!H12</f>
        <v>0.08</v>
      </c>
      <c r="I12" s="98">
        <f>Data!I12</f>
        <v>4.687122493355883E-2</v>
      </c>
      <c r="J12" s="98">
        <f>Data!J12</f>
        <v>0.11934349355216882</v>
      </c>
      <c r="K12" s="98">
        <f>Data!K12</f>
        <v>8.4789796882380725E-2</v>
      </c>
      <c r="L12" s="98">
        <f>Data!L12</f>
        <v>0.09</v>
      </c>
      <c r="M12" s="98">
        <f>Data!M12</f>
        <v>0.13053712818317997</v>
      </c>
      <c r="N12" s="98">
        <f>Data!N12</f>
        <v>0.10812553740326741</v>
      </c>
      <c r="O12" s="98">
        <f>Data!O12</f>
        <v>7.5921375921375919E-2</v>
      </c>
      <c r="P12" s="98">
        <f>Data!P12</f>
        <v>0.11</v>
      </c>
      <c r="Q12" s="99">
        <f>Data!Q12</f>
        <v>0.13</v>
      </c>
      <c r="T12" s="63">
        <f t="shared" si="0"/>
        <v>0.45041253536866632</v>
      </c>
      <c r="U12" s="121"/>
      <c r="V12" s="123">
        <f t="shared" si="1"/>
        <v>0.13053712818317997</v>
      </c>
      <c r="W12" s="124"/>
      <c r="X12" s="123">
        <f t="shared" si="2"/>
        <v>0.09</v>
      </c>
    </row>
    <row r="13" spans="2:24" ht="16" x14ac:dyDescent="0.35">
      <c r="B13" s="53">
        <f>Data!B13</f>
        <v>8</v>
      </c>
      <c r="C13" s="160" t="str">
        <f>Data!C13</f>
        <v>Net Promoter Score</v>
      </c>
      <c r="D13" s="160"/>
      <c r="E13" s="160"/>
      <c r="F13" s="100">
        <f>Data!F13</f>
        <v>10</v>
      </c>
      <c r="G13" s="100">
        <f>Data!G13</f>
        <v>14</v>
      </c>
      <c r="H13" s="100">
        <f>Data!H13</f>
        <v>6</v>
      </c>
      <c r="I13" s="100">
        <f>Data!I13</f>
        <v>3</v>
      </c>
      <c r="J13" s="100">
        <f>Data!J13</f>
        <v>6</v>
      </c>
      <c r="K13" s="100">
        <f>Data!K13</f>
        <v>7</v>
      </c>
      <c r="L13" s="100">
        <f>Data!L13</f>
        <v>8</v>
      </c>
      <c r="M13" s="100">
        <f>Data!M13</f>
        <v>9</v>
      </c>
      <c r="N13" s="100">
        <f>Data!N13</f>
        <v>10</v>
      </c>
      <c r="O13" s="100">
        <f>Data!O13</f>
        <v>8</v>
      </c>
      <c r="P13" s="100">
        <f>Data!P13</f>
        <v>10</v>
      </c>
      <c r="Q13" s="101">
        <f>Data!Q13</f>
        <v>8</v>
      </c>
      <c r="T13" s="63">
        <f t="shared" si="0"/>
        <v>0.125</v>
      </c>
      <c r="U13" s="121"/>
      <c r="V13" s="122">
        <f t="shared" si="1"/>
        <v>9</v>
      </c>
      <c r="W13" s="124"/>
      <c r="X13" s="122">
        <f t="shared" si="2"/>
        <v>8</v>
      </c>
    </row>
    <row r="14" spans="2:24" ht="16" x14ac:dyDescent="0.35">
      <c r="B14" s="53">
        <f>Data!B14</f>
        <v>9</v>
      </c>
      <c r="C14" s="160" t="str">
        <f>Data!C14</f>
        <v>Quality of hire</v>
      </c>
      <c r="D14" s="160"/>
      <c r="E14" s="160"/>
      <c r="F14" s="91">
        <f>Data!F14</f>
        <v>0.42109999999999997</v>
      </c>
      <c r="G14" s="91">
        <f>Data!G14</f>
        <v>0.23669999999999999</v>
      </c>
      <c r="H14" s="91">
        <f>Data!H14</f>
        <v>0.55759999999999998</v>
      </c>
      <c r="I14" s="91">
        <f>Data!I14</f>
        <v>0.61119999999999997</v>
      </c>
      <c r="J14" s="91">
        <f>Data!J14</f>
        <v>0.78769999999999996</v>
      </c>
      <c r="K14" s="91">
        <f>Data!K14</f>
        <v>0.38719999999999999</v>
      </c>
      <c r="L14" s="91">
        <f>Data!L14</f>
        <v>0.46379999999999999</v>
      </c>
      <c r="M14" s="91">
        <f>Data!M14</f>
        <v>0.44</v>
      </c>
      <c r="N14" s="91">
        <f>Data!N14</f>
        <v>0.52</v>
      </c>
      <c r="O14" s="91">
        <f>Data!O14</f>
        <v>0.46</v>
      </c>
      <c r="P14" s="91">
        <f>Data!P14</f>
        <v>0.71</v>
      </c>
      <c r="Q14" s="92">
        <f>Data!Q14</f>
        <v>0.53</v>
      </c>
      <c r="T14" s="63">
        <f t="shared" si="0"/>
        <v>-5.1315222078482048E-2</v>
      </c>
      <c r="U14" s="121"/>
      <c r="V14" s="123">
        <f t="shared" si="1"/>
        <v>0.44</v>
      </c>
      <c r="W14" s="124"/>
      <c r="X14" s="123">
        <f t="shared" si="2"/>
        <v>0.46379999999999999</v>
      </c>
    </row>
    <row r="15" spans="2:24" ht="16.5" thickBot="1" x14ac:dyDescent="0.4">
      <c r="B15" s="53">
        <f>Data!B15</f>
        <v>10</v>
      </c>
      <c r="C15" s="160" t="str">
        <f>Data!C15</f>
        <v>Turnover rate</v>
      </c>
      <c r="D15" s="160"/>
      <c r="E15" s="160"/>
      <c r="F15" s="102">
        <f>Data!F15</f>
        <v>0.15</v>
      </c>
      <c r="G15" s="102">
        <f>Data!G15</f>
        <v>0.12</v>
      </c>
      <c r="H15" s="102">
        <f>Data!H15</f>
        <v>0.08</v>
      </c>
      <c r="I15" s="102">
        <f>Data!I15</f>
        <v>0.09</v>
      </c>
      <c r="J15" s="102">
        <f>Data!J15</f>
        <v>0.1</v>
      </c>
      <c r="K15" s="102">
        <f>Data!K15</f>
        <v>0.05</v>
      </c>
      <c r="L15" s="102">
        <f>Data!L15</f>
        <v>0.11</v>
      </c>
      <c r="M15" s="102">
        <f>Data!M15</f>
        <v>0.08</v>
      </c>
      <c r="N15" s="102">
        <f>Data!N15</f>
        <v>0.09</v>
      </c>
      <c r="O15" s="102">
        <f>Data!O15</f>
        <v>0.12</v>
      </c>
      <c r="P15" s="102">
        <f>Data!P15</f>
        <v>0.18</v>
      </c>
      <c r="Q15" s="103">
        <f>Data!Q15</f>
        <v>0.25</v>
      </c>
      <c r="T15" s="63">
        <f t="shared" si="0"/>
        <v>-0.27272727272727271</v>
      </c>
      <c r="U15" s="121"/>
      <c r="V15" s="123">
        <f t="shared" si="1"/>
        <v>0.08</v>
      </c>
      <c r="W15" s="124"/>
      <c r="X15" s="123">
        <f t="shared" si="2"/>
        <v>0.11</v>
      </c>
    </row>
    <row r="16" spans="2:24" ht="16" x14ac:dyDescent="0.35">
      <c r="B16" s="140" t="str">
        <f>Data!B16</f>
        <v>Progress Chart</v>
      </c>
      <c r="C16" s="168" t="str">
        <f>Data!C16</f>
        <v>90-day quit rate (%)</v>
      </c>
      <c r="D16" s="168"/>
      <c r="E16" s="168"/>
      <c r="F16" s="104">
        <f>Data!F16</f>
        <v>0.18</v>
      </c>
      <c r="G16" s="104">
        <f>Data!G16</f>
        <v>0.15</v>
      </c>
      <c r="H16" s="104">
        <f>Data!H16</f>
        <v>0.08</v>
      </c>
      <c r="I16" s="104">
        <f>Data!I16</f>
        <v>0.09</v>
      </c>
      <c r="J16" s="104">
        <f>Data!J16</f>
        <v>0.12</v>
      </c>
      <c r="K16" s="104">
        <f>Data!K16</f>
        <v>0.05</v>
      </c>
      <c r="L16" s="104">
        <f>Data!L16</f>
        <v>0.1</v>
      </c>
      <c r="M16" s="104">
        <f>Data!M16</f>
        <v>0.16</v>
      </c>
      <c r="N16" s="104">
        <f>Data!N16</f>
        <v>0.12</v>
      </c>
      <c r="O16" s="104">
        <f>Data!O16</f>
        <v>0.09</v>
      </c>
      <c r="P16" s="104">
        <f>Data!P16</f>
        <v>0.15</v>
      </c>
      <c r="Q16" s="105">
        <f>Data!Q16</f>
        <v>0.11</v>
      </c>
      <c r="T16" s="125">
        <f t="shared" si="0"/>
        <v>0.59999999999999987</v>
      </c>
      <c r="U16" s="121"/>
      <c r="V16" s="130">
        <f t="shared" si="1"/>
        <v>0.16</v>
      </c>
      <c r="W16" s="124"/>
      <c r="X16" s="123">
        <f t="shared" si="2"/>
        <v>0.1</v>
      </c>
    </row>
    <row r="17" spans="2:24" ht="16" x14ac:dyDescent="0.35">
      <c r="B17" s="140"/>
      <c r="C17" s="168" t="str">
        <f>Data!C17</f>
        <v>Training effectiveness (%)</v>
      </c>
      <c r="D17" s="168"/>
      <c r="E17" s="168"/>
      <c r="F17" s="106">
        <f>Data!F17</f>
        <v>0.85</v>
      </c>
      <c r="G17" s="106">
        <f>Data!G17</f>
        <v>0.79669999999999996</v>
      </c>
      <c r="H17" s="106">
        <f>Data!H17</f>
        <v>0.45760000000000001</v>
      </c>
      <c r="I17" s="106">
        <f>Data!I17</f>
        <v>0.48</v>
      </c>
      <c r="J17" s="106">
        <f>Data!J17</f>
        <v>0.72929999999999995</v>
      </c>
      <c r="K17" s="106">
        <f>Data!K17</f>
        <v>0.68330000000000002</v>
      </c>
      <c r="L17" s="106">
        <f>Data!L17</f>
        <v>0.5998</v>
      </c>
      <c r="M17" s="106">
        <f>Data!M17</f>
        <v>0.61129999999999995</v>
      </c>
      <c r="N17" s="106">
        <f>Data!N17</f>
        <v>0.67800000000000005</v>
      </c>
      <c r="O17" s="106">
        <f>Data!O17</f>
        <v>0.76700000000000002</v>
      </c>
      <c r="P17" s="106">
        <f>Data!P17</f>
        <v>0.871</v>
      </c>
      <c r="Q17" s="107">
        <f>Data!Q17</f>
        <v>0.92330000000000001</v>
      </c>
      <c r="T17" s="125">
        <f t="shared" si="0"/>
        <v>1.9173057685895278E-2</v>
      </c>
      <c r="U17" s="121"/>
      <c r="V17" s="131">
        <f t="shared" si="1"/>
        <v>0.61129999999999995</v>
      </c>
      <c r="W17" s="124"/>
      <c r="X17" s="123">
        <f t="shared" si="2"/>
        <v>0.5998</v>
      </c>
    </row>
    <row r="18" spans="2:24" ht="16.5" thickBot="1" x14ac:dyDescent="0.4">
      <c r="B18" s="141"/>
      <c r="C18" s="168" t="str">
        <f>Data!C18</f>
        <v>Acceptance Ratio (%)</v>
      </c>
      <c r="D18" s="168"/>
      <c r="E18" s="168"/>
      <c r="F18" s="108">
        <f>Data!F18</f>
        <v>0.5</v>
      </c>
      <c r="G18" s="108">
        <f>Data!G18</f>
        <v>0.42</v>
      </c>
      <c r="H18" s="108">
        <f>Data!H18</f>
        <v>0.38</v>
      </c>
      <c r="I18" s="108">
        <f>Data!I18</f>
        <v>0.67</v>
      </c>
      <c r="J18" s="108">
        <f>Data!J18</f>
        <v>0.37</v>
      </c>
      <c r="K18" s="108">
        <f>Data!K18</f>
        <v>0.56999999999999995</v>
      </c>
      <c r="L18" s="108">
        <f>Data!L18</f>
        <v>0.92</v>
      </c>
      <c r="M18" s="108">
        <f>Data!M18</f>
        <v>0.9</v>
      </c>
      <c r="N18" s="108">
        <f>Data!N18</f>
        <v>0.71</v>
      </c>
      <c r="O18" s="108">
        <f>Data!O18</f>
        <v>0.31</v>
      </c>
      <c r="P18" s="108">
        <f>Data!P18</f>
        <v>0.68</v>
      </c>
      <c r="Q18" s="109">
        <f>Data!Q18</f>
        <v>0.81</v>
      </c>
      <c r="T18" s="125">
        <f t="shared" si="0"/>
        <v>-2.1739130434782594E-2</v>
      </c>
      <c r="U18" s="121"/>
      <c r="V18" s="132">
        <f t="shared" si="1"/>
        <v>0.9</v>
      </c>
      <c r="W18" s="124"/>
      <c r="X18" s="123">
        <f t="shared" si="2"/>
        <v>0.92</v>
      </c>
    </row>
    <row r="19" spans="2:24" ht="16" x14ac:dyDescent="0.35">
      <c r="B19" s="142" t="str">
        <f>Data!B19</f>
        <v>Chart</v>
      </c>
      <c r="C19" s="167" t="str">
        <f>Data!C19</f>
        <v>Male</v>
      </c>
      <c r="D19" s="167"/>
      <c r="E19" s="167"/>
      <c r="F19" s="110">
        <f>Data!F19</f>
        <v>16</v>
      </c>
      <c r="G19" s="110">
        <f>Data!G19</f>
        <v>20</v>
      </c>
      <c r="H19" s="110">
        <f>Data!H19</f>
        <v>18</v>
      </c>
      <c r="I19" s="110">
        <f>Data!I19</f>
        <v>18</v>
      </c>
      <c r="J19" s="110">
        <f>Data!J19</f>
        <v>16</v>
      </c>
      <c r="K19" s="110">
        <f>Data!K19</f>
        <v>16</v>
      </c>
      <c r="L19" s="110">
        <f>Data!L19</f>
        <v>15</v>
      </c>
      <c r="M19" s="110">
        <f>Data!M19</f>
        <v>20</v>
      </c>
      <c r="N19" s="110">
        <f>Data!N19</f>
        <v>17</v>
      </c>
      <c r="O19" s="110">
        <f>Data!O19</f>
        <v>16</v>
      </c>
      <c r="P19" s="110">
        <f>Data!P19</f>
        <v>18</v>
      </c>
      <c r="Q19" s="111">
        <f>Data!Q19</f>
        <v>18</v>
      </c>
      <c r="T19" s="125">
        <f t="shared" si="0"/>
        <v>0.33333333333333326</v>
      </c>
      <c r="U19" s="121"/>
      <c r="V19" s="122">
        <f t="shared" si="1"/>
        <v>20</v>
      </c>
      <c r="W19" s="124"/>
      <c r="X19" s="122">
        <f t="shared" si="2"/>
        <v>15</v>
      </c>
    </row>
    <row r="20" spans="2:24" ht="16" x14ac:dyDescent="0.35">
      <c r="B20" s="142"/>
      <c r="C20" s="167" t="str">
        <f>Data!C20</f>
        <v>Female</v>
      </c>
      <c r="D20" s="167"/>
      <c r="E20" s="167"/>
      <c r="F20" s="112">
        <f>Data!F20</f>
        <v>17</v>
      </c>
      <c r="G20" s="112">
        <f>Data!G20</f>
        <v>20</v>
      </c>
      <c r="H20" s="112">
        <f>Data!H20</f>
        <v>15</v>
      </c>
      <c r="I20" s="112">
        <f>Data!I20</f>
        <v>18</v>
      </c>
      <c r="J20" s="112">
        <f>Data!J20</f>
        <v>16</v>
      </c>
      <c r="K20" s="112">
        <f>Data!K20</f>
        <v>16</v>
      </c>
      <c r="L20" s="112">
        <f>Data!L20</f>
        <v>20</v>
      </c>
      <c r="M20" s="112">
        <f>Data!M20</f>
        <v>15</v>
      </c>
      <c r="N20" s="112">
        <f>Data!N20</f>
        <v>20</v>
      </c>
      <c r="O20" s="112">
        <f>Data!O20</f>
        <v>20</v>
      </c>
      <c r="P20" s="112">
        <f>Data!P20</f>
        <v>18</v>
      </c>
      <c r="Q20" s="113">
        <f>Data!Q20</f>
        <v>17</v>
      </c>
      <c r="T20" s="125">
        <f t="shared" si="0"/>
        <v>-0.25</v>
      </c>
      <c r="U20" s="121"/>
      <c r="V20" s="122">
        <f t="shared" si="1"/>
        <v>15</v>
      </c>
      <c r="W20" s="124"/>
      <c r="X20" s="122">
        <f t="shared" si="2"/>
        <v>20</v>
      </c>
    </row>
    <row r="21" spans="2:24" ht="16" x14ac:dyDescent="0.35">
      <c r="B21" s="143"/>
      <c r="C21" s="167" t="str">
        <f>Data!C21</f>
        <v>Headcount</v>
      </c>
      <c r="D21" s="167"/>
      <c r="E21" s="167"/>
      <c r="F21" s="112">
        <f>Data!F21</f>
        <v>33</v>
      </c>
      <c r="G21" s="112">
        <f>Data!G21</f>
        <v>40</v>
      </c>
      <c r="H21" s="112">
        <f>Data!H21</f>
        <v>33</v>
      </c>
      <c r="I21" s="112">
        <f>Data!I21</f>
        <v>36</v>
      </c>
      <c r="J21" s="112">
        <f>Data!J21</f>
        <v>32</v>
      </c>
      <c r="K21" s="112">
        <f>Data!K21</f>
        <v>32</v>
      </c>
      <c r="L21" s="112">
        <f>Data!L21</f>
        <v>35</v>
      </c>
      <c r="M21" s="112">
        <f>Data!M21</f>
        <v>35</v>
      </c>
      <c r="N21" s="112">
        <f>Data!N21</f>
        <v>37</v>
      </c>
      <c r="O21" s="112">
        <f>Data!O21</f>
        <v>36</v>
      </c>
      <c r="P21" s="112">
        <f>Data!P21</f>
        <v>36</v>
      </c>
      <c r="Q21" s="113">
        <f>Data!Q21</f>
        <v>35</v>
      </c>
      <c r="T21" s="125">
        <f t="shared" si="0"/>
        <v>0</v>
      </c>
      <c r="U21" s="121"/>
      <c r="V21" s="122">
        <f t="shared" si="1"/>
        <v>35</v>
      </c>
      <c r="W21" s="124"/>
      <c r="X21" s="122">
        <f t="shared" si="2"/>
        <v>35</v>
      </c>
    </row>
    <row r="22" spans="2:24" ht="7.5" customHeight="1" x14ac:dyDescent="0.35"/>
    <row r="23" spans="2:24" ht="8.25" customHeight="1" x14ac:dyDescent="0.35"/>
    <row r="24" spans="2:24" x14ac:dyDescent="0.35">
      <c r="B24" s="165" t="s">
        <v>50</v>
      </c>
      <c r="C24" s="166"/>
      <c r="D24" s="166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</row>
    <row r="25" spans="2:24" x14ac:dyDescent="0.35">
      <c r="B25" s="163" t="s">
        <v>35</v>
      </c>
      <c r="C25" s="164"/>
      <c r="D25" s="164"/>
      <c r="E25" s="39"/>
      <c r="F25" s="39"/>
      <c r="G25" s="163" t="s">
        <v>36</v>
      </c>
      <c r="H25" s="164"/>
      <c r="I25" s="164"/>
      <c r="J25" s="164"/>
      <c r="K25" s="39"/>
      <c r="L25" s="39"/>
      <c r="M25" s="163" t="str">
        <f>C18</f>
        <v>Acceptance Ratio (%)</v>
      </c>
      <c r="N25" s="164"/>
      <c r="O25" s="164"/>
      <c r="P25" s="164"/>
      <c r="Q25" s="39"/>
      <c r="T25" s="134" t="s">
        <v>19</v>
      </c>
      <c r="U25" s="135"/>
      <c r="W25" s="136"/>
    </row>
    <row r="26" spans="2:24" x14ac:dyDescent="0.35">
      <c r="B26" s="127" t="s">
        <v>48</v>
      </c>
      <c r="C26" s="128"/>
      <c r="D26" s="129"/>
      <c r="E26" s="91">
        <f>V16</f>
        <v>0.16</v>
      </c>
      <c r="F26" s="39"/>
      <c r="G26" s="169" t="s">
        <v>48</v>
      </c>
      <c r="H26" s="170"/>
      <c r="I26" s="170"/>
      <c r="J26" s="170"/>
      <c r="K26" s="91">
        <f>V17</f>
        <v>0.61129999999999995</v>
      </c>
      <c r="L26" s="39"/>
      <c r="M26" s="169" t="s">
        <v>48</v>
      </c>
      <c r="N26" s="170"/>
      <c r="O26" s="170"/>
      <c r="P26" s="170"/>
      <c r="Q26" s="91">
        <f>V18</f>
        <v>0.9</v>
      </c>
      <c r="T26" s="100">
        <f>V19</f>
        <v>20</v>
      </c>
    </row>
    <row r="27" spans="2:24" x14ac:dyDescent="0.35">
      <c r="B27" s="127" t="s">
        <v>39</v>
      </c>
      <c r="C27" s="128"/>
      <c r="D27" s="129"/>
      <c r="E27" s="91">
        <f>100%-E26</f>
        <v>0.84</v>
      </c>
      <c r="F27" s="39"/>
      <c r="G27" s="169" t="s">
        <v>39</v>
      </c>
      <c r="H27" s="170"/>
      <c r="I27" s="170"/>
      <c r="J27" s="170"/>
      <c r="K27" s="91">
        <f>100%-K26</f>
        <v>0.38870000000000005</v>
      </c>
      <c r="L27" s="39"/>
      <c r="M27" s="169" t="s">
        <v>39</v>
      </c>
      <c r="N27" s="170"/>
      <c r="O27" s="170"/>
      <c r="P27" s="170"/>
      <c r="Q27" s="91">
        <f>100%-Q26</f>
        <v>9.9999999999999978E-2</v>
      </c>
      <c r="T27" s="100">
        <f>V20</f>
        <v>15</v>
      </c>
    </row>
  </sheetData>
  <mergeCells count="27">
    <mergeCell ref="G25:J25"/>
    <mergeCell ref="G26:J26"/>
    <mergeCell ref="G27:J27"/>
    <mergeCell ref="M25:P25"/>
    <mergeCell ref="M26:P26"/>
    <mergeCell ref="M27:P27"/>
    <mergeCell ref="C5:E5"/>
    <mergeCell ref="C6:E6"/>
    <mergeCell ref="C7:E7"/>
    <mergeCell ref="C8:E8"/>
    <mergeCell ref="C9:E9"/>
    <mergeCell ref="B16:B18"/>
    <mergeCell ref="C16:E16"/>
    <mergeCell ref="C17:E17"/>
    <mergeCell ref="C18:E18"/>
    <mergeCell ref="C10:E10"/>
    <mergeCell ref="C11:E11"/>
    <mergeCell ref="C12:E12"/>
    <mergeCell ref="C13:E13"/>
    <mergeCell ref="C14:E14"/>
    <mergeCell ref="C15:E15"/>
    <mergeCell ref="B25:D25"/>
    <mergeCell ref="B24:D24"/>
    <mergeCell ref="B19:B21"/>
    <mergeCell ref="C19:E19"/>
    <mergeCell ref="C20:E20"/>
    <mergeCell ref="C21:E21"/>
  </mergeCells>
  <conditionalFormatting sqref="V6:V21">
    <cfRule type="expression" dxfId="56" priority="65">
      <formula>$F$4=$G$4</formula>
    </cfRule>
    <cfRule type="expression" dxfId="55" priority="66">
      <formula>$F$4&lt;$G$4</formula>
    </cfRule>
    <cfRule type="expression" dxfId="54" priority="67">
      <formula>$F$4&gt;$G$4</formula>
    </cfRule>
  </conditionalFormatting>
  <conditionalFormatting sqref="X6:X21">
    <cfRule type="expression" dxfId="53" priority="50">
      <formula>$F$4=$G$4</formula>
    </cfRule>
    <cfRule type="expression" dxfId="52" priority="51">
      <formula>$F$4&lt;$G$4</formula>
    </cfRule>
    <cfRule type="expression" dxfId="51" priority="52">
      <formula>$F$4&gt;$G$4</formula>
    </cfRule>
  </conditionalFormatting>
  <conditionalFormatting sqref="T6">
    <cfRule type="expression" dxfId="50" priority="19">
      <formula>$T$6=0</formula>
    </cfRule>
    <cfRule type="expression" dxfId="49" priority="20">
      <formula>$T$6&lt;0</formula>
    </cfRule>
    <cfRule type="expression" dxfId="48" priority="21">
      <formula>$T$6&gt;0</formula>
    </cfRule>
  </conditionalFormatting>
  <conditionalFormatting sqref="T7">
    <cfRule type="expression" dxfId="47" priority="16">
      <formula>$T$7=0</formula>
    </cfRule>
    <cfRule type="expression" dxfId="46" priority="17">
      <formula>$T$7&gt;0</formula>
    </cfRule>
    <cfRule type="expression" dxfId="45" priority="18">
      <formula>$T$7&lt;0</formula>
    </cfRule>
  </conditionalFormatting>
  <conditionalFormatting sqref="T8">
    <cfRule type="expression" dxfId="44" priority="13">
      <formula>$T$8=0</formula>
    </cfRule>
    <cfRule type="expression" dxfId="43" priority="14">
      <formula>$T$8&lt;0</formula>
    </cfRule>
    <cfRule type="expression" dxfId="42" priority="15">
      <formula>$T$8&gt;0</formula>
    </cfRule>
  </conditionalFormatting>
  <conditionalFormatting sqref="T9:T10">
    <cfRule type="expression" dxfId="41" priority="10">
      <formula>$T$10=0</formula>
    </cfRule>
    <cfRule type="expression" dxfId="40" priority="11">
      <formula>$T$10&lt;0</formula>
    </cfRule>
    <cfRule type="expression" dxfId="39" priority="12">
      <formula>$T$10&gt;0</formula>
    </cfRule>
  </conditionalFormatting>
  <conditionalFormatting sqref="T11:T12">
    <cfRule type="expression" dxfId="38" priority="7">
      <formula>$T$12=0</formula>
    </cfRule>
    <cfRule type="expression" dxfId="37" priority="8">
      <formula>$T$12&lt;0</formula>
    </cfRule>
    <cfRule type="expression" dxfId="36" priority="9">
      <formula>$T$12&gt;0</formula>
    </cfRule>
  </conditionalFormatting>
  <conditionalFormatting sqref="T13">
    <cfRule type="expression" dxfId="35" priority="4">
      <formula>$T$13=0</formula>
    </cfRule>
    <cfRule type="expression" dxfId="34" priority="5">
      <formula>$T$13&gt;0</formula>
    </cfRule>
    <cfRule type="expression" dxfId="33" priority="6">
      <formula>$T$13&lt;0</formula>
    </cfRule>
  </conditionalFormatting>
  <conditionalFormatting sqref="T14:T15">
    <cfRule type="expression" dxfId="32" priority="1">
      <formula>$T$15=0</formula>
    </cfRule>
    <cfRule type="expression" dxfId="31" priority="2">
      <formula>$T$15&lt;0</formula>
    </cfRule>
    <cfRule type="expression" dxfId="30" priority="3">
      <formula>$T$15&gt;0</formula>
    </cfRule>
  </conditionalFormatting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A106"/>
  <sheetViews>
    <sheetView showGridLines="0" tabSelected="1" zoomScale="160" zoomScaleNormal="160" workbookViewId="0">
      <selection activeCell="X2" sqref="X2"/>
    </sheetView>
  </sheetViews>
  <sheetFormatPr defaultColWidth="11.453125" defaultRowHeight="14.5" x14ac:dyDescent="0.35"/>
  <cols>
    <col min="1" max="1" width="4" style="2" customWidth="1"/>
    <col min="2" max="3" width="10.453125" style="1" customWidth="1"/>
    <col min="4" max="4" width="2.26953125" style="1" customWidth="1"/>
    <col min="5" max="5" width="1" style="1" customWidth="1"/>
    <col min="6" max="6" width="10.453125" style="1" customWidth="1"/>
    <col min="7" max="7" width="4.453125" style="1" customWidth="1"/>
    <col min="8" max="8" width="9.26953125" style="1" customWidth="1"/>
    <col min="9" max="9" width="0.81640625" style="2" customWidth="1"/>
    <col min="10" max="10" width="0.1796875" style="2" hidden="1" customWidth="1"/>
    <col min="11" max="11" width="1.1796875" style="2" hidden="1" customWidth="1"/>
    <col min="12" max="13" width="10.453125" style="1" customWidth="1"/>
    <col min="14" max="14" width="3.453125" style="1" customWidth="1"/>
    <col min="15" max="15" width="0.81640625" style="1" customWidth="1"/>
    <col min="16" max="17" width="10.453125" style="1" customWidth="1"/>
    <col min="18" max="18" width="3.26953125" style="1" customWidth="1"/>
    <col min="19" max="19" width="1.26953125" style="1" customWidth="1"/>
    <col min="20" max="21" width="11.453125" style="1"/>
    <col min="22" max="22" width="2.1796875" style="2" customWidth="1"/>
    <col min="23" max="23" width="13.26953125" style="1" customWidth="1"/>
    <col min="24" max="16384" width="11.453125" style="1"/>
  </cols>
  <sheetData>
    <row r="1" spans="2:105" s="2" customFormat="1" ht="6.75" customHeight="1" x14ac:dyDescent="0.35">
      <c r="B1" s="171"/>
      <c r="C1" s="171"/>
      <c r="D1" s="171"/>
      <c r="E1" s="171"/>
      <c r="F1" s="171"/>
      <c r="L1" s="5"/>
      <c r="N1" s="172"/>
      <c r="O1" s="172"/>
      <c r="P1" s="172"/>
    </row>
    <row r="2" spans="2:105" ht="17.25" customHeight="1" x14ac:dyDescent="0.35">
      <c r="B2" s="177" t="str">
        <f>Calculation!C16</f>
        <v>90-day quit rate (%)</v>
      </c>
      <c r="C2" s="177"/>
      <c r="D2" s="49"/>
      <c r="E2" s="49"/>
      <c r="F2" s="177" t="str">
        <f>Calculation!C17</f>
        <v>Training effectiveness (%)</v>
      </c>
      <c r="G2" s="177"/>
      <c r="H2" s="177"/>
      <c r="I2" s="49"/>
      <c r="J2" s="49"/>
      <c r="K2" s="49"/>
      <c r="L2" s="49"/>
      <c r="M2" s="49"/>
      <c r="N2" s="49"/>
      <c r="O2" s="49"/>
      <c r="P2" s="177" t="str">
        <f>Calculation!C18</f>
        <v>Acceptance Ratio (%)</v>
      </c>
      <c r="Q2" s="177"/>
      <c r="R2" s="49"/>
      <c r="S2" s="49"/>
      <c r="T2" s="177" t="str">
        <f>Calculation!C21</f>
        <v>Headcount</v>
      </c>
      <c r="U2" s="177"/>
      <c r="V2" s="85"/>
      <c r="W2" s="2"/>
      <c r="X2" s="44" t="s">
        <v>8</v>
      </c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</row>
    <row r="3" spans="2:105" ht="24" customHeight="1" x14ac:dyDescent="0.35"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21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</row>
    <row r="4" spans="2:105" ht="14.25" customHeight="1" x14ac:dyDescent="0.35"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21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</row>
    <row r="5" spans="2:105" ht="67.5" customHeight="1" x14ac:dyDescent="0.35"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21"/>
      <c r="W5" s="2"/>
      <c r="X5" s="2" t="s">
        <v>41</v>
      </c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</row>
    <row r="6" spans="2:105" s="2" customFormat="1" ht="3.75" customHeight="1" x14ac:dyDescent="0.35">
      <c r="L6" s="33"/>
      <c r="M6" s="33"/>
      <c r="N6" s="33"/>
      <c r="P6" s="33"/>
      <c r="Q6" s="33"/>
      <c r="R6" s="33"/>
      <c r="V6" s="21"/>
    </row>
    <row r="7" spans="2:105" ht="24" customHeight="1" x14ac:dyDescent="0.35">
      <c r="B7" s="177" t="str">
        <f>calc!C4</f>
        <v>Absence rate</v>
      </c>
      <c r="C7" s="177"/>
      <c r="D7" s="177"/>
      <c r="E7" s="7"/>
      <c r="F7" s="177" t="str">
        <f>Calculation!C7</f>
        <v>Absence cost</v>
      </c>
      <c r="G7" s="177"/>
      <c r="H7" s="177"/>
      <c r="L7" s="177" t="str">
        <f>Calculation!C8</f>
        <v>Benefits satisfaction</v>
      </c>
      <c r="M7" s="177"/>
      <c r="N7" s="177"/>
      <c r="O7" s="87"/>
      <c r="P7" s="177" t="str">
        <f>Calculation!C9</f>
        <v>Productivity rate</v>
      </c>
      <c r="Q7" s="177"/>
      <c r="R7" s="177"/>
      <c r="S7" s="87"/>
      <c r="T7" s="177" t="str">
        <f>Calculation!C10</f>
        <v>Satisfaction index</v>
      </c>
      <c r="U7" s="177"/>
      <c r="V7" s="21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</row>
    <row r="8" spans="2:105" ht="9.75" customHeight="1" x14ac:dyDescent="0.35">
      <c r="B8" s="178">
        <f>Data!R6</f>
        <v>4.99E-2</v>
      </c>
      <c r="C8" s="178"/>
      <c r="D8" s="178"/>
      <c r="E8" s="37"/>
      <c r="F8" s="179">
        <f>Data!R7</f>
        <v>1288</v>
      </c>
      <c r="G8" s="179"/>
      <c r="H8" s="179"/>
      <c r="I8" s="38"/>
      <c r="J8" s="38"/>
      <c r="K8" s="38"/>
      <c r="L8" s="178">
        <f>Data!R8</f>
        <v>0.79</v>
      </c>
      <c r="M8" s="178"/>
      <c r="N8" s="178"/>
      <c r="O8" s="37"/>
      <c r="P8" s="181">
        <f>Data!R9</f>
        <v>0.8</v>
      </c>
      <c r="Q8" s="181"/>
      <c r="R8" s="181"/>
      <c r="S8" s="37"/>
      <c r="T8" s="180">
        <f>Data!R10</f>
        <v>0.71</v>
      </c>
      <c r="U8" s="180"/>
      <c r="V8" s="21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</row>
    <row r="9" spans="2:105" ht="24" customHeight="1" x14ac:dyDescent="0.35">
      <c r="B9" s="178"/>
      <c r="C9" s="178"/>
      <c r="D9" s="178"/>
      <c r="E9" s="37"/>
      <c r="F9" s="179"/>
      <c r="G9" s="179"/>
      <c r="H9" s="179"/>
      <c r="I9" s="38"/>
      <c r="J9" s="38"/>
      <c r="K9" s="38"/>
      <c r="L9" s="178"/>
      <c r="M9" s="178"/>
      <c r="N9" s="178"/>
      <c r="O9" s="37"/>
      <c r="P9" s="181"/>
      <c r="Q9" s="181"/>
      <c r="R9" s="181"/>
      <c r="S9" s="37"/>
      <c r="T9" s="181"/>
      <c r="U9" s="181"/>
      <c r="V9" s="21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</row>
    <row r="10" spans="2:105" ht="24" customHeight="1" x14ac:dyDescent="0.35">
      <c r="B10" s="10"/>
      <c r="C10" s="10"/>
      <c r="D10" s="10"/>
      <c r="E10" s="8"/>
      <c r="F10" s="9"/>
      <c r="G10" s="9"/>
      <c r="H10" s="9"/>
      <c r="L10" s="11"/>
      <c r="M10" s="11"/>
      <c r="N10" s="11"/>
      <c r="O10" s="8"/>
      <c r="P10" s="9"/>
      <c r="Q10" s="9"/>
      <c r="R10" s="9"/>
      <c r="S10" s="8"/>
      <c r="T10" s="14"/>
      <c r="U10" s="14"/>
      <c r="V10" s="21"/>
      <c r="W10" s="2"/>
      <c r="X10" s="2" t="s">
        <v>41</v>
      </c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</row>
    <row r="11" spans="2:105" ht="24" customHeight="1" x14ac:dyDescent="0.35">
      <c r="B11" s="174"/>
      <c r="C11" s="174"/>
      <c r="D11" s="174"/>
      <c r="E11" s="8"/>
      <c r="F11" s="173"/>
      <c r="G11" s="173"/>
      <c r="H11" s="173"/>
      <c r="L11" s="175"/>
      <c r="M11" s="176"/>
      <c r="N11" s="176"/>
      <c r="O11" s="8"/>
      <c r="P11" s="175"/>
      <c r="Q11" s="175"/>
      <c r="R11" s="175"/>
      <c r="S11" s="8"/>
      <c r="T11" s="175"/>
      <c r="U11" s="176"/>
      <c r="V11" s="21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</row>
    <row r="12" spans="2:105" s="2" customFormat="1" ht="2.25" customHeight="1" x14ac:dyDescent="0.35">
      <c r="B12" s="8"/>
      <c r="C12" s="8"/>
      <c r="D12" s="8"/>
      <c r="E12" s="8"/>
      <c r="F12" s="8"/>
      <c r="G12" s="8"/>
      <c r="H12" s="8"/>
      <c r="L12" s="8"/>
      <c r="M12" s="8"/>
      <c r="N12" s="8"/>
      <c r="O12" s="8"/>
      <c r="P12" s="8"/>
      <c r="Q12" s="8"/>
      <c r="R12" s="8"/>
      <c r="S12" s="8"/>
      <c r="T12" s="23"/>
      <c r="U12" s="23"/>
      <c r="V12" s="21"/>
    </row>
    <row r="13" spans="2:105" ht="24" customHeight="1" x14ac:dyDescent="0.35">
      <c r="B13" s="177" t="str">
        <f>Calculation!C11</f>
        <v>Engagement index</v>
      </c>
      <c r="C13" s="177"/>
      <c r="D13" s="177"/>
      <c r="E13" s="87"/>
      <c r="F13" s="177" t="str">
        <f>Calculation!C12</f>
        <v>Internal promotion rate</v>
      </c>
      <c r="G13" s="177"/>
      <c r="H13" s="177"/>
      <c r="I13" s="88"/>
      <c r="J13" s="88"/>
      <c r="K13" s="88"/>
      <c r="L13" s="177" t="str">
        <f>Calculation!C13</f>
        <v>Net Promoter Score</v>
      </c>
      <c r="M13" s="177"/>
      <c r="N13" s="177"/>
      <c r="O13" s="87"/>
      <c r="P13" s="177" t="str">
        <f>Calculation!C14</f>
        <v>Quality of hire</v>
      </c>
      <c r="Q13" s="177"/>
      <c r="R13" s="177"/>
      <c r="S13" s="87"/>
      <c r="T13" s="177" t="str">
        <f>Calculation!C15</f>
        <v>Turnover rate</v>
      </c>
      <c r="U13" s="177"/>
      <c r="V13" s="21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</row>
    <row r="14" spans="2:105" ht="8.25" customHeight="1" x14ac:dyDescent="0.35">
      <c r="B14" s="180">
        <f>calc!F9</f>
        <v>0.38</v>
      </c>
      <c r="C14" s="180"/>
      <c r="D14" s="180"/>
      <c r="E14" s="37"/>
      <c r="F14" s="180">
        <f>calc!F10</f>
        <v>0.13053712818317997</v>
      </c>
      <c r="G14" s="180"/>
      <c r="H14" s="180"/>
      <c r="I14" s="38"/>
      <c r="J14" s="38"/>
      <c r="K14" s="38"/>
      <c r="L14" s="182">
        <f>calc!F11</f>
        <v>9</v>
      </c>
      <c r="M14" s="182"/>
      <c r="N14" s="182"/>
      <c r="O14" s="37"/>
      <c r="P14" s="180">
        <f>calc!F12</f>
        <v>0.44</v>
      </c>
      <c r="Q14" s="180"/>
      <c r="R14" s="180"/>
      <c r="S14" s="37"/>
      <c r="T14" s="180">
        <f>calc!F13</f>
        <v>0.08</v>
      </c>
      <c r="U14" s="180"/>
      <c r="V14" s="21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</row>
    <row r="15" spans="2:105" ht="24" customHeight="1" x14ac:dyDescent="0.35">
      <c r="B15" s="181"/>
      <c r="C15" s="181"/>
      <c r="D15" s="181"/>
      <c r="E15" s="37"/>
      <c r="F15" s="181"/>
      <c r="G15" s="181"/>
      <c r="H15" s="181"/>
      <c r="I15" s="38"/>
      <c r="J15" s="38"/>
      <c r="K15" s="38"/>
      <c r="L15" s="183"/>
      <c r="M15" s="183"/>
      <c r="N15" s="183"/>
      <c r="O15" s="37"/>
      <c r="P15" s="181"/>
      <c r="Q15" s="181"/>
      <c r="R15" s="181"/>
      <c r="S15" s="37"/>
      <c r="T15" s="181"/>
      <c r="U15" s="181"/>
      <c r="V15" s="21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</row>
    <row r="16" spans="2:105" ht="24" customHeight="1" x14ac:dyDescent="0.35">
      <c r="B16" s="16"/>
      <c r="C16" s="16"/>
      <c r="D16" s="16"/>
      <c r="E16" s="8"/>
      <c r="F16" s="14"/>
      <c r="G16" s="14"/>
      <c r="H16" s="14"/>
      <c r="L16" s="14"/>
      <c r="M16" s="14"/>
      <c r="N16" s="14"/>
      <c r="O16" s="8"/>
      <c r="P16" s="14"/>
      <c r="Q16" s="14"/>
      <c r="R16" s="14"/>
      <c r="S16" s="8"/>
      <c r="T16" s="15"/>
      <c r="U16" s="15"/>
      <c r="V16" s="21"/>
      <c r="W16" s="2"/>
      <c r="X16" s="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12"/>
      <c r="CF16" s="12"/>
      <c r="CG16" s="12"/>
      <c r="CH16" s="12"/>
      <c r="CI16" s="12"/>
      <c r="CJ16" s="12"/>
      <c r="CK16" s="12"/>
      <c r="CL16" s="12"/>
      <c r="CM16" s="12"/>
      <c r="CN16" s="12"/>
      <c r="CO16" s="12"/>
      <c r="CP16" s="12"/>
      <c r="CQ16" s="12"/>
      <c r="CR16" s="12"/>
      <c r="CS16" s="12"/>
      <c r="CT16" s="12"/>
      <c r="CU16" s="12"/>
      <c r="CV16" s="12"/>
      <c r="CW16" s="12"/>
      <c r="CX16" s="12"/>
      <c r="CY16" s="12"/>
      <c r="CZ16" s="12"/>
      <c r="DA16" s="12"/>
    </row>
    <row r="17" spans="2:105" ht="23.25" customHeight="1" x14ac:dyDescent="0.35">
      <c r="B17" s="174"/>
      <c r="C17" s="174"/>
      <c r="D17" s="174"/>
      <c r="E17" s="8"/>
      <c r="F17" s="175"/>
      <c r="G17" s="176"/>
      <c r="H17" s="176"/>
      <c r="L17" s="175"/>
      <c r="M17" s="176"/>
      <c r="N17" s="176"/>
      <c r="O17" s="8"/>
      <c r="P17" s="175"/>
      <c r="Q17" s="176"/>
      <c r="R17" s="176"/>
      <c r="S17" s="8"/>
      <c r="T17" s="175"/>
      <c r="U17" s="176"/>
      <c r="V17" s="21"/>
      <c r="W17" s="2"/>
      <c r="X17" s="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F17" s="12"/>
      <c r="CG17" s="12"/>
      <c r="CH17" s="12"/>
      <c r="CI17" s="12"/>
      <c r="CJ17" s="12"/>
      <c r="CK17" s="12"/>
      <c r="CL17" s="12"/>
      <c r="CM17" s="12"/>
      <c r="CN17" s="12"/>
      <c r="CO17" s="12"/>
      <c r="CP17" s="12"/>
      <c r="CQ17" s="12"/>
      <c r="CR17" s="12"/>
      <c r="CS17" s="12"/>
      <c r="CT17" s="12"/>
      <c r="CU17" s="12"/>
      <c r="CV17" s="12"/>
      <c r="CW17" s="12"/>
      <c r="CX17" s="12"/>
      <c r="CY17" s="12"/>
      <c r="CZ17" s="12"/>
      <c r="DA17" s="12"/>
    </row>
    <row r="18" spans="2:105" s="2" customFormat="1" ht="3.75" customHeight="1" x14ac:dyDescent="0.35">
      <c r="L18" s="6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12"/>
      <c r="CF18" s="12"/>
      <c r="CG18" s="12"/>
      <c r="CH18" s="12"/>
      <c r="CI18" s="12"/>
      <c r="CJ18" s="12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12"/>
      <c r="CY18" s="12"/>
      <c r="CZ18" s="12"/>
      <c r="DA18" s="12"/>
    </row>
    <row r="19" spans="2:105" s="2" customFormat="1" ht="24" customHeight="1" x14ac:dyDescent="0.35">
      <c r="U19" s="12"/>
      <c r="V19" s="12"/>
      <c r="W19" s="12"/>
      <c r="X19" s="8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12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  <c r="CA19" s="12"/>
      <c r="CB19" s="12"/>
      <c r="CC19" s="12"/>
      <c r="CD19" s="12"/>
      <c r="CE19" s="12"/>
      <c r="CF19" s="12"/>
      <c r="CG19" s="12"/>
      <c r="CH19" s="12"/>
      <c r="CI19" s="12"/>
      <c r="CJ19" s="12"/>
      <c r="CK19" s="12"/>
      <c r="CL19" s="12"/>
      <c r="CM19" s="12"/>
      <c r="CN19" s="12"/>
      <c r="CO19" s="12"/>
      <c r="CP19" s="12"/>
      <c r="CQ19" s="12"/>
      <c r="CR19" s="12"/>
      <c r="CS19" s="12"/>
      <c r="CT19" s="12"/>
      <c r="CU19" s="12"/>
      <c r="CV19" s="12"/>
      <c r="CW19" s="12"/>
      <c r="CX19" s="12"/>
      <c r="CY19" s="12"/>
      <c r="CZ19" s="12"/>
      <c r="DA19" s="12"/>
    </row>
    <row r="20" spans="2:105" s="2" customFormat="1" ht="6.75" customHeight="1" x14ac:dyDescent="0.35">
      <c r="U20" s="12"/>
      <c r="V20" s="12"/>
      <c r="W20" s="8"/>
      <c r="X20" s="8"/>
      <c r="Y20" s="8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12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12"/>
      <c r="CZ20" s="12"/>
      <c r="DA20" s="12"/>
    </row>
    <row r="21" spans="2:105" s="2" customFormat="1" ht="24" customHeight="1" x14ac:dyDescent="0.35">
      <c r="U21" s="12"/>
      <c r="V21" s="12"/>
      <c r="W21" s="8"/>
      <c r="X21" s="8"/>
      <c r="Y21" s="8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  <c r="BE21" s="12"/>
      <c r="BF21" s="12"/>
      <c r="BG21" s="12"/>
      <c r="BH21" s="12"/>
      <c r="BI21" s="12"/>
      <c r="BJ21" s="12"/>
      <c r="BK21" s="12"/>
      <c r="BL21" s="12"/>
      <c r="BM21" s="12"/>
      <c r="BN21" s="12"/>
      <c r="BO21" s="12"/>
      <c r="BP21" s="12"/>
      <c r="BQ21" s="12"/>
      <c r="BR21" s="12"/>
      <c r="BS21" s="12"/>
      <c r="BT21" s="12"/>
      <c r="BU21" s="12"/>
      <c r="BV21" s="12"/>
      <c r="BW21" s="12"/>
      <c r="BX21" s="12"/>
      <c r="BY21" s="12"/>
      <c r="BZ21" s="12"/>
      <c r="CA21" s="12"/>
      <c r="CB21" s="12"/>
      <c r="CC21" s="12"/>
      <c r="CD21" s="12"/>
      <c r="CE21" s="12"/>
      <c r="CF21" s="12"/>
      <c r="CG21" s="12"/>
      <c r="CH21" s="12"/>
      <c r="CI21" s="12"/>
      <c r="CJ21" s="12"/>
      <c r="CK21" s="12"/>
      <c r="CL21" s="12"/>
      <c r="CM21" s="12"/>
      <c r="CN21" s="12"/>
      <c r="CO21" s="12"/>
      <c r="CP21" s="12"/>
      <c r="CQ21" s="12"/>
      <c r="CR21" s="12"/>
      <c r="CS21" s="12"/>
      <c r="CT21" s="12"/>
      <c r="CU21" s="12"/>
      <c r="CV21" s="12"/>
      <c r="CW21" s="12"/>
      <c r="CX21" s="12"/>
      <c r="CY21" s="12"/>
      <c r="CZ21" s="12"/>
      <c r="DA21" s="12"/>
    </row>
    <row r="22" spans="2:105" s="2" customFormat="1" ht="24" customHeight="1" x14ac:dyDescent="0.35">
      <c r="U22" s="12"/>
      <c r="V22" s="12"/>
      <c r="W22" s="8"/>
      <c r="X22" s="8"/>
      <c r="Y22" s="8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12"/>
      <c r="BZ22" s="12"/>
      <c r="CA22" s="12"/>
      <c r="CB22" s="12"/>
      <c r="CC22" s="12"/>
      <c r="CD22" s="12"/>
      <c r="CE22" s="12"/>
      <c r="CF22" s="12"/>
      <c r="CG22" s="12"/>
      <c r="CH22" s="12"/>
      <c r="CI22" s="12"/>
      <c r="CJ22" s="12"/>
      <c r="CK22" s="12"/>
      <c r="CL22" s="12"/>
      <c r="CM22" s="12"/>
      <c r="CN22" s="12"/>
      <c r="CO22" s="12"/>
      <c r="CP22" s="12"/>
      <c r="CQ22" s="12"/>
      <c r="CR22" s="12"/>
      <c r="CS22" s="12"/>
      <c r="CT22" s="12"/>
      <c r="CU22" s="12"/>
      <c r="CV22" s="12"/>
      <c r="CW22" s="12"/>
      <c r="CX22" s="12"/>
      <c r="CY22" s="12"/>
      <c r="CZ22" s="12"/>
      <c r="DA22" s="12"/>
    </row>
    <row r="23" spans="2:105" s="2" customFormat="1" ht="24" customHeight="1" x14ac:dyDescent="0.35">
      <c r="U23" s="12"/>
      <c r="V23" s="12"/>
      <c r="W23" s="8"/>
      <c r="Y23" s="8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12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12"/>
      <c r="BZ23" s="12"/>
      <c r="CA23" s="12"/>
      <c r="CB23" s="12"/>
      <c r="CC23" s="12"/>
      <c r="CD23" s="12"/>
      <c r="CE23" s="12"/>
      <c r="CF23" s="12"/>
      <c r="CG23" s="12"/>
      <c r="CH23" s="12"/>
      <c r="CI23" s="12"/>
      <c r="CJ23" s="12"/>
      <c r="CK23" s="12"/>
      <c r="CL23" s="12"/>
      <c r="CM23" s="12"/>
      <c r="CN23" s="12"/>
      <c r="CO23" s="12"/>
      <c r="CP23" s="12"/>
      <c r="CQ23" s="12"/>
      <c r="CR23" s="12"/>
      <c r="CS23" s="12"/>
      <c r="CT23" s="12"/>
      <c r="CU23" s="12"/>
      <c r="CV23" s="12"/>
      <c r="CW23" s="12"/>
      <c r="CX23" s="12"/>
      <c r="CY23" s="12"/>
      <c r="CZ23" s="12"/>
      <c r="DA23" s="12"/>
    </row>
    <row r="24" spans="2:105" s="2" customFormat="1" ht="24" customHeight="1" x14ac:dyDescent="0.35">
      <c r="T24" s="12"/>
      <c r="U24" s="12"/>
      <c r="V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12"/>
      <c r="CF24" s="12"/>
      <c r="CG24" s="12"/>
      <c r="CH24" s="12"/>
      <c r="CI24" s="12"/>
      <c r="CJ24" s="12"/>
      <c r="CK24" s="12"/>
      <c r="CL24" s="12"/>
      <c r="CM24" s="12"/>
      <c r="CN24" s="12"/>
      <c r="CO24" s="12"/>
      <c r="CP24" s="12"/>
      <c r="CQ24" s="12"/>
      <c r="CR24" s="12"/>
      <c r="CS24" s="12"/>
      <c r="CT24" s="12"/>
      <c r="CU24" s="12"/>
      <c r="CV24" s="12"/>
      <c r="CW24" s="12"/>
      <c r="CX24" s="12"/>
      <c r="CY24" s="12"/>
      <c r="CZ24" s="12"/>
      <c r="DA24" s="12"/>
    </row>
    <row r="25" spans="2:105" s="2" customFormat="1" ht="24" customHeight="1" x14ac:dyDescent="0.35">
      <c r="T25" s="12"/>
      <c r="U25" s="12"/>
    </row>
    <row r="26" spans="2:105" ht="24" customHeight="1" x14ac:dyDescent="0.35">
      <c r="B26" s="2"/>
      <c r="C26" s="2"/>
      <c r="D26" s="2"/>
      <c r="E26" s="2"/>
      <c r="F26" s="2"/>
      <c r="G26" s="2"/>
      <c r="H26" s="2"/>
      <c r="L26" s="2"/>
      <c r="M26" s="2"/>
      <c r="N26" s="2"/>
      <c r="O26" s="2"/>
      <c r="P26" s="2"/>
      <c r="Q26" s="2"/>
      <c r="R26" s="2"/>
      <c r="S26" s="2"/>
      <c r="T26" s="12"/>
      <c r="U26" s="1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</row>
    <row r="27" spans="2:105" ht="24" customHeight="1" x14ac:dyDescent="0.35">
      <c r="B27" s="2"/>
      <c r="C27" s="2"/>
      <c r="D27" s="2"/>
      <c r="E27" s="2"/>
      <c r="F27" s="2"/>
      <c r="G27" s="2"/>
      <c r="H27" s="2"/>
      <c r="L27" s="2"/>
      <c r="M27" s="2"/>
      <c r="N27" s="2"/>
      <c r="O27" s="2"/>
      <c r="P27" s="2"/>
      <c r="Q27" s="2"/>
      <c r="R27" s="2"/>
      <c r="S27" s="2"/>
      <c r="T27" s="2"/>
      <c r="U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</row>
    <row r="28" spans="2:105" ht="24" customHeight="1" x14ac:dyDescent="0.35">
      <c r="B28" s="2"/>
      <c r="C28" s="2"/>
      <c r="D28" s="2"/>
      <c r="E28" s="2"/>
      <c r="F28" s="2"/>
      <c r="G28" s="2"/>
      <c r="H28" s="2"/>
      <c r="L28" s="2"/>
      <c r="M28" s="2"/>
      <c r="N28" s="2"/>
      <c r="O28" s="2"/>
      <c r="P28" s="2"/>
      <c r="Q28" s="2"/>
      <c r="R28" s="2"/>
      <c r="S28" s="2"/>
      <c r="T28" s="2"/>
      <c r="U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</row>
    <row r="29" spans="2:105" ht="24" customHeight="1" x14ac:dyDescent="0.35">
      <c r="B29" s="2"/>
      <c r="C29" s="2"/>
      <c r="D29" s="2"/>
      <c r="E29" s="2"/>
      <c r="F29" s="2"/>
      <c r="G29" s="2"/>
      <c r="H29" s="2"/>
      <c r="L29" s="2"/>
      <c r="M29" s="2"/>
      <c r="N29" s="2"/>
      <c r="O29" s="2"/>
      <c r="P29" s="2"/>
      <c r="Q29" s="2"/>
      <c r="R29" s="2"/>
      <c r="S29" s="2"/>
      <c r="T29" s="2"/>
      <c r="U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</row>
    <row r="30" spans="2:105" ht="24" customHeight="1" x14ac:dyDescent="0.35">
      <c r="B30" s="2"/>
      <c r="C30" s="2"/>
      <c r="D30" s="2"/>
      <c r="E30" s="2"/>
      <c r="F30" s="2"/>
      <c r="G30" s="2"/>
      <c r="H30" s="2"/>
      <c r="L30" s="2"/>
      <c r="M30" s="2"/>
      <c r="N30" s="2"/>
      <c r="O30" s="2"/>
      <c r="P30" s="2"/>
      <c r="Q30" s="2"/>
      <c r="R30" s="2"/>
      <c r="S30" s="2"/>
      <c r="T30" s="2"/>
      <c r="U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</row>
    <row r="31" spans="2:105" ht="24" customHeight="1" x14ac:dyDescent="0.35">
      <c r="B31" s="2"/>
      <c r="C31" s="2"/>
      <c r="D31" s="2"/>
      <c r="E31" s="2"/>
      <c r="F31" s="2"/>
      <c r="G31" s="2"/>
      <c r="H31" s="2"/>
      <c r="L31" s="2"/>
      <c r="M31" s="2"/>
      <c r="N31" s="2"/>
      <c r="O31" s="2"/>
      <c r="P31" s="2"/>
      <c r="Q31" s="2"/>
      <c r="R31" s="2"/>
      <c r="S31" s="2"/>
      <c r="T31" s="2"/>
      <c r="U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</row>
    <row r="32" spans="2:105" ht="24" customHeight="1" x14ac:dyDescent="0.35">
      <c r="B32" s="2"/>
      <c r="C32" s="2"/>
      <c r="D32" s="2"/>
      <c r="E32" s="2"/>
      <c r="F32" s="2"/>
      <c r="G32" s="2"/>
      <c r="H32" s="2"/>
      <c r="L32" s="2"/>
      <c r="M32" s="2"/>
      <c r="N32" s="2"/>
      <c r="O32" s="2"/>
      <c r="P32" s="2"/>
      <c r="Q32" s="2"/>
      <c r="R32" s="2"/>
      <c r="S32" s="2"/>
      <c r="T32" s="2"/>
      <c r="U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</row>
    <row r="33" spans="2:105" ht="24" customHeight="1" x14ac:dyDescent="0.35">
      <c r="B33" s="2"/>
      <c r="C33" s="2"/>
      <c r="D33" s="2"/>
      <c r="E33" s="2"/>
      <c r="F33" s="2"/>
      <c r="G33" s="2"/>
      <c r="H33" s="2"/>
      <c r="L33" s="2"/>
      <c r="M33" s="2"/>
      <c r="N33" s="2"/>
      <c r="O33" s="2"/>
      <c r="P33" s="2"/>
      <c r="Q33" s="2"/>
      <c r="R33" s="2"/>
      <c r="S33" s="2"/>
      <c r="T33" s="2"/>
      <c r="U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</row>
    <row r="34" spans="2:105" ht="24" customHeight="1" x14ac:dyDescent="0.35">
      <c r="B34" s="2"/>
      <c r="C34" s="2"/>
      <c r="D34" s="2"/>
      <c r="E34" s="2"/>
      <c r="F34" s="2"/>
      <c r="G34" s="2"/>
      <c r="H34" s="2"/>
      <c r="L34" s="2"/>
      <c r="M34" s="2"/>
      <c r="N34" s="2"/>
      <c r="O34" s="2"/>
      <c r="P34" s="2"/>
      <c r="Q34" s="2"/>
      <c r="R34" s="2"/>
      <c r="S34" s="2"/>
      <c r="T34" s="2"/>
      <c r="U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</row>
    <row r="35" spans="2:105" ht="24" customHeight="1" x14ac:dyDescent="0.35">
      <c r="B35" s="2"/>
      <c r="C35" s="2"/>
      <c r="D35" s="2"/>
      <c r="E35" s="2"/>
      <c r="F35" s="2"/>
      <c r="G35" s="2"/>
      <c r="H35" s="2"/>
      <c r="L35" s="2"/>
      <c r="M35" s="2"/>
      <c r="N35" s="2"/>
      <c r="O35" s="2"/>
      <c r="P35" s="2"/>
      <c r="Q35" s="2"/>
      <c r="R35" s="2"/>
      <c r="S35" s="2"/>
      <c r="T35" s="2"/>
      <c r="U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</row>
    <row r="36" spans="2:105" ht="24" customHeight="1" x14ac:dyDescent="0.35">
      <c r="B36" s="2"/>
      <c r="C36" s="2"/>
      <c r="D36" s="2"/>
      <c r="E36" s="2"/>
      <c r="F36" s="2"/>
      <c r="G36" s="2"/>
      <c r="H36" s="2"/>
      <c r="L36" s="2"/>
      <c r="M36" s="2"/>
      <c r="N36" s="2"/>
      <c r="O36" s="2"/>
      <c r="P36" s="2"/>
      <c r="Q36" s="2"/>
      <c r="R36" s="2"/>
      <c r="S36" s="2"/>
      <c r="T36" s="2"/>
      <c r="U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</row>
    <row r="37" spans="2:105" ht="24" customHeight="1" x14ac:dyDescent="0.35">
      <c r="B37" s="2"/>
      <c r="C37" s="2"/>
      <c r="D37" s="2"/>
      <c r="E37" s="2"/>
      <c r="F37" s="2"/>
      <c r="G37" s="2"/>
      <c r="H37" s="2"/>
      <c r="L37" s="2"/>
      <c r="M37" s="2"/>
      <c r="N37" s="2"/>
      <c r="O37" s="2"/>
      <c r="P37" s="2"/>
      <c r="Q37" s="2"/>
      <c r="R37" s="2"/>
      <c r="S37" s="2"/>
      <c r="T37" s="2"/>
      <c r="U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</row>
    <row r="38" spans="2:105" ht="24" customHeight="1" x14ac:dyDescent="0.35">
      <c r="B38" s="2"/>
      <c r="C38" s="2"/>
      <c r="D38" s="2"/>
      <c r="E38" s="2"/>
      <c r="F38" s="2"/>
      <c r="G38" s="2"/>
      <c r="H38" s="2"/>
      <c r="L38" s="2"/>
      <c r="M38" s="2"/>
      <c r="N38" s="2"/>
      <c r="O38" s="2"/>
      <c r="P38" s="2"/>
      <c r="Q38" s="2"/>
      <c r="R38" s="2"/>
      <c r="S38" s="2"/>
      <c r="T38" s="2"/>
      <c r="U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</row>
    <row r="39" spans="2:105" ht="24" customHeight="1" x14ac:dyDescent="0.35">
      <c r="B39" s="2"/>
      <c r="C39" s="2"/>
      <c r="D39" s="2"/>
      <c r="E39" s="2"/>
      <c r="F39" s="2"/>
      <c r="G39" s="2"/>
      <c r="H39" s="2"/>
      <c r="L39" s="2"/>
      <c r="M39" s="2"/>
      <c r="N39" s="2"/>
      <c r="O39" s="2"/>
      <c r="P39" s="2"/>
      <c r="Q39" s="2"/>
      <c r="R39" s="2"/>
      <c r="S39" s="2"/>
      <c r="T39" s="2"/>
      <c r="U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</row>
    <row r="40" spans="2:105" ht="24" customHeight="1" x14ac:dyDescent="0.35">
      <c r="B40" s="2"/>
      <c r="C40" s="2"/>
      <c r="D40" s="2"/>
      <c r="E40" s="2"/>
      <c r="F40" s="2"/>
      <c r="G40" s="2"/>
      <c r="H40" s="2"/>
      <c r="L40" s="2"/>
      <c r="M40" s="2"/>
      <c r="N40" s="2"/>
      <c r="O40" s="2"/>
      <c r="P40" s="2"/>
      <c r="Q40" s="2"/>
      <c r="R40" s="2"/>
      <c r="S40" s="2"/>
      <c r="T40" s="2"/>
      <c r="U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</row>
    <row r="41" spans="2:105" ht="24" customHeight="1" x14ac:dyDescent="0.35">
      <c r="B41" s="2"/>
      <c r="C41" s="2"/>
      <c r="D41" s="2"/>
      <c r="E41" s="2"/>
      <c r="F41" s="2"/>
      <c r="G41" s="2"/>
      <c r="H41" s="2"/>
      <c r="L41" s="2"/>
      <c r="M41" s="2"/>
      <c r="N41" s="2"/>
      <c r="O41" s="2"/>
      <c r="P41" s="2"/>
      <c r="Q41" s="2"/>
      <c r="R41" s="2"/>
      <c r="S41" s="2"/>
      <c r="T41" s="2"/>
      <c r="U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</row>
    <row r="42" spans="2:105" ht="24" customHeight="1" x14ac:dyDescent="0.35">
      <c r="B42" s="2"/>
      <c r="C42" s="2"/>
      <c r="D42" s="2"/>
      <c r="E42" s="2"/>
      <c r="F42" s="2"/>
      <c r="G42" s="2"/>
      <c r="H42" s="2"/>
      <c r="L42" s="2"/>
      <c r="M42" s="2"/>
      <c r="N42" s="2"/>
      <c r="O42" s="2"/>
      <c r="P42" s="2"/>
      <c r="Q42" s="2"/>
      <c r="R42" s="2"/>
      <c r="S42" s="2"/>
      <c r="T42" s="2"/>
      <c r="U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</row>
    <row r="43" spans="2:105" ht="24" customHeight="1" x14ac:dyDescent="0.35">
      <c r="B43" s="2"/>
      <c r="C43" s="2"/>
      <c r="D43" s="2"/>
      <c r="E43" s="2"/>
      <c r="F43" s="2"/>
      <c r="G43" s="2"/>
      <c r="H43" s="2"/>
      <c r="L43" s="2"/>
      <c r="M43" s="2"/>
      <c r="N43" s="2"/>
      <c r="O43" s="2"/>
      <c r="P43" s="2"/>
      <c r="Q43" s="2"/>
      <c r="R43" s="2"/>
      <c r="S43" s="2"/>
      <c r="T43" s="2"/>
      <c r="U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</row>
    <row r="44" spans="2:105" ht="24" customHeight="1" x14ac:dyDescent="0.35">
      <c r="B44" s="2"/>
      <c r="C44" s="2"/>
      <c r="D44" s="2"/>
      <c r="E44" s="2"/>
      <c r="F44" s="2"/>
      <c r="G44" s="2"/>
      <c r="H44" s="2"/>
      <c r="L44" s="2"/>
      <c r="M44" s="2"/>
      <c r="N44" s="2"/>
      <c r="O44" s="2"/>
      <c r="P44" s="2"/>
      <c r="Q44" s="2"/>
      <c r="R44" s="2"/>
      <c r="S44" s="2"/>
      <c r="T44" s="2"/>
      <c r="U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</row>
    <row r="45" spans="2:105" ht="24" customHeight="1" x14ac:dyDescent="0.35">
      <c r="B45" s="2"/>
      <c r="C45" s="2"/>
      <c r="D45" s="2"/>
      <c r="E45" s="2"/>
      <c r="F45" s="2"/>
      <c r="G45" s="2"/>
      <c r="H45" s="2"/>
      <c r="L45" s="2"/>
      <c r="M45" s="2"/>
      <c r="N45" s="2"/>
      <c r="O45" s="2"/>
      <c r="P45" s="2"/>
      <c r="Q45" s="2"/>
      <c r="R45" s="2"/>
      <c r="S45" s="2"/>
      <c r="T45" s="2"/>
      <c r="U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</row>
    <row r="46" spans="2:105" ht="24" customHeight="1" x14ac:dyDescent="0.35">
      <c r="B46" s="2"/>
      <c r="C46" s="2"/>
      <c r="D46" s="2"/>
      <c r="E46" s="2"/>
      <c r="F46" s="2"/>
      <c r="G46" s="2"/>
      <c r="H46" s="2"/>
      <c r="L46" s="2"/>
      <c r="M46" s="2"/>
      <c r="N46" s="2"/>
      <c r="O46" s="2"/>
      <c r="P46" s="2"/>
      <c r="Q46" s="2"/>
      <c r="R46" s="2"/>
      <c r="S46" s="2"/>
      <c r="T46" s="2"/>
      <c r="U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</row>
    <row r="47" spans="2:105" ht="24" customHeight="1" x14ac:dyDescent="0.35">
      <c r="B47" s="2"/>
      <c r="C47" s="2"/>
      <c r="D47" s="2"/>
      <c r="E47" s="2"/>
      <c r="F47" s="2"/>
      <c r="G47" s="2"/>
      <c r="H47" s="2"/>
      <c r="L47" s="2"/>
      <c r="M47" s="2"/>
      <c r="N47" s="2"/>
      <c r="O47" s="2"/>
      <c r="P47" s="2"/>
      <c r="Q47" s="2"/>
      <c r="R47" s="2"/>
      <c r="S47" s="2"/>
      <c r="T47" s="2"/>
      <c r="U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</row>
    <row r="48" spans="2:105" ht="24" customHeight="1" x14ac:dyDescent="0.35">
      <c r="B48" s="2"/>
      <c r="C48" s="2"/>
      <c r="D48" s="2"/>
      <c r="E48" s="2"/>
      <c r="F48" s="2"/>
      <c r="G48" s="2"/>
      <c r="H48" s="2"/>
      <c r="L48" s="2"/>
      <c r="M48" s="2"/>
      <c r="N48" s="2"/>
      <c r="O48" s="2"/>
      <c r="P48" s="2"/>
      <c r="Q48" s="2"/>
      <c r="R48" s="2"/>
      <c r="S48" s="2"/>
      <c r="T48" s="2"/>
      <c r="U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</row>
    <row r="49" spans="2:105" ht="24" customHeight="1" x14ac:dyDescent="0.35">
      <c r="B49" s="2"/>
      <c r="C49" s="2"/>
      <c r="D49" s="2"/>
      <c r="E49" s="2"/>
      <c r="F49" s="2"/>
      <c r="G49" s="2"/>
      <c r="H49" s="2"/>
      <c r="L49" s="2"/>
      <c r="M49" s="2"/>
      <c r="N49" s="2"/>
      <c r="O49" s="2"/>
      <c r="P49" s="2"/>
      <c r="Q49" s="2"/>
      <c r="R49" s="2"/>
      <c r="S49" s="2"/>
      <c r="T49" s="2"/>
      <c r="U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</row>
    <row r="50" spans="2:105" ht="24" customHeight="1" x14ac:dyDescent="0.35">
      <c r="B50" s="2"/>
      <c r="C50" s="2"/>
      <c r="D50" s="2"/>
      <c r="E50" s="2"/>
      <c r="F50" s="2"/>
      <c r="G50" s="2"/>
      <c r="H50" s="2"/>
      <c r="L50" s="2"/>
      <c r="M50" s="2"/>
      <c r="N50" s="2"/>
      <c r="O50" s="2"/>
      <c r="P50" s="2"/>
      <c r="Q50" s="2"/>
      <c r="R50" s="2"/>
      <c r="S50" s="2"/>
      <c r="T50" s="2"/>
      <c r="U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</row>
    <row r="51" spans="2:105" ht="24" customHeight="1" x14ac:dyDescent="0.35">
      <c r="B51" s="2"/>
      <c r="C51" s="2"/>
      <c r="D51" s="2"/>
      <c r="E51" s="2"/>
      <c r="F51" s="2"/>
      <c r="G51" s="2"/>
      <c r="H51" s="2"/>
      <c r="L51" s="2"/>
      <c r="M51" s="2"/>
      <c r="N51" s="2"/>
      <c r="O51" s="2"/>
      <c r="P51" s="2"/>
      <c r="Q51" s="2"/>
      <c r="R51" s="2"/>
      <c r="S51" s="2"/>
      <c r="T51" s="2"/>
      <c r="U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</row>
    <row r="52" spans="2:105" ht="24" customHeight="1" x14ac:dyDescent="0.35">
      <c r="B52" s="2"/>
      <c r="C52" s="2"/>
      <c r="D52" s="2"/>
      <c r="E52" s="2"/>
      <c r="F52" s="2"/>
      <c r="G52" s="2"/>
      <c r="H52" s="2"/>
      <c r="L52" s="2"/>
      <c r="M52" s="2"/>
      <c r="N52" s="2"/>
      <c r="O52" s="2"/>
      <c r="P52" s="2"/>
      <c r="Q52" s="2"/>
      <c r="R52" s="2"/>
      <c r="S52" s="2"/>
      <c r="T52" s="2"/>
      <c r="U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</row>
    <row r="53" spans="2:105" ht="24" customHeight="1" x14ac:dyDescent="0.35">
      <c r="B53" s="2"/>
      <c r="C53" s="2"/>
      <c r="D53" s="2"/>
      <c r="E53" s="2"/>
      <c r="F53" s="2"/>
      <c r="G53" s="2"/>
      <c r="H53" s="2"/>
      <c r="L53" s="2"/>
      <c r="M53" s="2"/>
      <c r="N53" s="2"/>
      <c r="O53" s="2"/>
      <c r="P53" s="2"/>
      <c r="Q53" s="2"/>
      <c r="R53" s="2"/>
      <c r="S53" s="2"/>
      <c r="T53" s="2"/>
      <c r="U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</row>
    <row r="54" spans="2:105" ht="24" customHeight="1" x14ac:dyDescent="0.35">
      <c r="B54" s="2"/>
      <c r="C54" s="2"/>
      <c r="D54" s="2"/>
      <c r="E54" s="2"/>
      <c r="F54" s="2"/>
      <c r="G54" s="2"/>
      <c r="H54" s="2"/>
      <c r="L54" s="2"/>
      <c r="M54" s="2"/>
      <c r="N54" s="2"/>
      <c r="O54" s="2"/>
      <c r="P54" s="2"/>
      <c r="Q54" s="2"/>
      <c r="R54" s="2"/>
      <c r="S54" s="2"/>
      <c r="T54" s="2"/>
      <c r="U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</row>
    <row r="55" spans="2:105" ht="24" customHeight="1" x14ac:dyDescent="0.35">
      <c r="B55" s="2"/>
      <c r="C55" s="2"/>
      <c r="D55" s="2"/>
      <c r="E55" s="2"/>
      <c r="F55" s="2"/>
      <c r="G55" s="2"/>
      <c r="H55" s="2"/>
      <c r="L55" s="2"/>
      <c r="M55" s="2"/>
      <c r="N55" s="2"/>
      <c r="O55" s="2"/>
      <c r="P55" s="2"/>
      <c r="Q55" s="2"/>
      <c r="R55" s="2"/>
      <c r="S55" s="2"/>
      <c r="T55" s="2"/>
      <c r="U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</row>
    <row r="56" spans="2:105" ht="24" customHeight="1" x14ac:dyDescent="0.35">
      <c r="B56" s="2"/>
      <c r="C56" s="2"/>
      <c r="D56" s="2"/>
      <c r="E56" s="2"/>
      <c r="F56" s="2"/>
      <c r="G56" s="2"/>
      <c r="H56" s="2"/>
      <c r="L56" s="2"/>
      <c r="M56" s="2"/>
      <c r="N56" s="2"/>
      <c r="O56" s="2"/>
      <c r="P56" s="2"/>
      <c r="Q56" s="2"/>
      <c r="R56" s="2"/>
      <c r="S56" s="2"/>
      <c r="T56" s="2"/>
      <c r="U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</row>
    <row r="57" spans="2:105" ht="24" customHeight="1" x14ac:dyDescent="0.35">
      <c r="B57" s="2"/>
      <c r="C57" s="2"/>
      <c r="D57" s="2"/>
      <c r="E57" s="2"/>
      <c r="F57" s="2"/>
      <c r="G57" s="2"/>
      <c r="H57" s="2"/>
      <c r="L57" s="2"/>
      <c r="M57" s="2"/>
      <c r="N57" s="2"/>
      <c r="O57" s="2"/>
      <c r="P57" s="2"/>
      <c r="Q57" s="2"/>
      <c r="R57" s="2"/>
      <c r="S57" s="2"/>
      <c r="T57" s="2"/>
      <c r="U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</row>
    <row r="58" spans="2:105" ht="24" customHeight="1" x14ac:dyDescent="0.35">
      <c r="B58" s="2"/>
      <c r="C58" s="2"/>
      <c r="D58" s="2"/>
      <c r="E58" s="2"/>
      <c r="F58" s="2"/>
      <c r="G58" s="2"/>
      <c r="H58" s="2"/>
      <c r="L58" s="2"/>
      <c r="M58" s="2"/>
      <c r="N58" s="2"/>
      <c r="O58" s="2"/>
      <c r="P58" s="2"/>
      <c r="Q58" s="2"/>
      <c r="R58" s="2"/>
      <c r="S58" s="2"/>
      <c r="T58" s="2"/>
      <c r="U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</row>
    <row r="59" spans="2:105" ht="24" customHeight="1" x14ac:dyDescent="0.35">
      <c r="B59" s="2"/>
      <c r="C59" s="2"/>
      <c r="D59" s="2"/>
      <c r="E59" s="2"/>
      <c r="F59" s="2"/>
      <c r="G59" s="2"/>
      <c r="H59" s="2"/>
      <c r="L59" s="2"/>
      <c r="M59" s="2"/>
      <c r="N59" s="2"/>
      <c r="O59" s="2"/>
      <c r="P59" s="2"/>
      <c r="Q59" s="2"/>
      <c r="R59" s="2"/>
      <c r="S59" s="2"/>
      <c r="T59" s="2"/>
      <c r="U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</row>
    <row r="60" spans="2:105" ht="24" customHeight="1" x14ac:dyDescent="0.35">
      <c r="B60" s="2"/>
      <c r="C60" s="2"/>
      <c r="D60" s="2"/>
      <c r="E60" s="2"/>
      <c r="F60" s="2"/>
      <c r="G60" s="2"/>
      <c r="H60" s="2"/>
      <c r="L60" s="2"/>
      <c r="M60" s="2"/>
      <c r="N60" s="2"/>
      <c r="O60" s="2"/>
      <c r="P60" s="2"/>
      <c r="Q60" s="2"/>
      <c r="R60" s="2"/>
      <c r="S60" s="2"/>
      <c r="T60" s="2"/>
      <c r="U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</row>
    <row r="61" spans="2:105" ht="24" customHeight="1" x14ac:dyDescent="0.35">
      <c r="B61" s="2"/>
      <c r="C61" s="2"/>
      <c r="D61" s="2"/>
      <c r="E61" s="2"/>
      <c r="F61" s="2"/>
      <c r="G61" s="2"/>
      <c r="H61" s="2"/>
      <c r="L61" s="2"/>
      <c r="M61" s="2"/>
      <c r="N61" s="2"/>
      <c r="O61" s="2"/>
      <c r="P61" s="2"/>
      <c r="Q61" s="2"/>
      <c r="R61" s="2"/>
      <c r="S61" s="2"/>
      <c r="T61" s="2"/>
      <c r="U61" s="2"/>
      <c r="W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</row>
    <row r="72" spans="2:8" x14ac:dyDescent="0.35">
      <c r="B72" s="13"/>
      <c r="C72" s="13"/>
      <c r="D72" s="13"/>
      <c r="E72" s="13"/>
      <c r="F72" s="13"/>
      <c r="G72" s="13"/>
      <c r="H72" s="13"/>
    </row>
    <row r="73" spans="2:8" x14ac:dyDescent="0.35">
      <c r="B73" s="13"/>
      <c r="C73" s="13"/>
      <c r="D73" s="13"/>
      <c r="E73" s="13"/>
      <c r="F73" s="13"/>
      <c r="G73" s="13"/>
      <c r="H73" s="13"/>
    </row>
    <row r="74" spans="2:8" x14ac:dyDescent="0.35">
      <c r="B74" s="13"/>
      <c r="C74" s="17" t="s">
        <v>4</v>
      </c>
      <c r="D74" s="18">
        <v>23</v>
      </c>
      <c r="E74" s="19">
        <f>D74/D76</f>
        <v>0.96679277007145858</v>
      </c>
      <c r="F74" s="13"/>
      <c r="G74" s="13"/>
      <c r="H74" s="13"/>
    </row>
    <row r="75" spans="2:8" x14ac:dyDescent="0.35">
      <c r="B75" s="13"/>
      <c r="C75" s="17" t="s">
        <v>3</v>
      </c>
      <c r="D75" s="18">
        <f>Data!R8</f>
        <v>0.79</v>
      </c>
      <c r="E75" s="19">
        <f>D75/D76</f>
        <v>3.3207229928541408E-2</v>
      </c>
      <c r="F75" s="13"/>
      <c r="G75" s="13"/>
      <c r="H75" s="13"/>
    </row>
    <row r="76" spans="2:8" x14ac:dyDescent="0.35">
      <c r="B76" s="13"/>
      <c r="C76" s="20" t="s">
        <v>14</v>
      </c>
      <c r="D76" s="18">
        <f>SUM(D74:D75)</f>
        <v>23.79</v>
      </c>
      <c r="E76" s="20"/>
      <c r="F76" s="13"/>
      <c r="G76" s="13"/>
      <c r="H76" s="13"/>
    </row>
    <row r="77" spans="2:8" x14ac:dyDescent="0.35">
      <c r="B77" s="13"/>
      <c r="C77" s="20"/>
      <c r="D77" s="18"/>
      <c r="E77" s="20"/>
      <c r="F77" s="13"/>
      <c r="G77" s="13"/>
      <c r="H77" s="13"/>
    </row>
    <row r="78" spans="2:8" x14ac:dyDescent="0.35">
      <c r="B78" s="13"/>
      <c r="C78" s="20"/>
      <c r="D78" s="18"/>
      <c r="E78" s="20"/>
      <c r="F78" s="13"/>
      <c r="G78" s="13"/>
      <c r="H78" s="13"/>
    </row>
    <row r="79" spans="2:8" x14ac:dyDescent="0.35">
      <c r="B79" s="13"/>
      <c r="C79" s="20"/>
      <c r="D79" s="18"/>
      <c r="E79" s="20"/>
      <c r="F79" s="13"/>
      <c r="G79" s="13"/>
      <c r="H79" s="13"/>
    </row>
    <row r="80" spans="2:8" x14ac:dyDescent="0.35">
      <c r="B80" s="13"/>
      <c r="C80" s="20"/>
      <c r="D80" s="18"/>
      <c r="E80" s="20"/>
      <c r="F80" s="13"/>
      <c r="G80" s="13"/>
      <c r="H80" s="13"/>
    </row>
    <row r="81" spans="1:21" x14ac:dyDescent="0.35">
      <c r="B81" s="13"/>
      <c r="C81" s="20"/>
      <c r="D81" s="18"/>
      <c r="E81" s="20"/>
      <c r="F81" s="13"/>
      <c r="G81" s="13"/>
      <c r="H81" s="13"/>
    </row>
    <row r="82" spans="1:21" x14ac:dyDescent="0.35">
      <c r="B82" s="13"/>
      <c r="C82" s="20" t="s">
        <v>20</v>
      </c>
      <c r="D82" s="19">
        <f>IFERROR(SUM(Data!#REF!)/(Data!#REF!+Data!#REF!),0)</f>
        <v>0</v>
      </c>
      <c r="E82" s="20"/>
      <c r="F82" s="13"/>
      <c r="G82" s="13"/>
      <c r="H82" s="13"/>
    </row>
    <row r="83" spans="1:21" x14ac:dyDescent="0.35">
      <c r="B83" s="13"/>
      <c r="C83" s="20" t="s">
        <v>15</v>
      </c>
      <c r="D83" s="19">
        <f>IFERROR(SUM(Data!#REF!)/(Data!#REF!+Data!#REF!),0)</f>
        <v>0</v>
      </c>
      <c r="E83" s="20"/>
      <c r="F83" s="13"/>
      <c r="G83" s="13"/>
      <c r="H83" s="13"/>
    </row>
    <row r="84" spans="1:21" x14ac:dyDescent="0.35">
      <c r="B84" s="13"/>
      <c r="C84" s="20" t="s">
        <v>16</v>
      </c>
      <c r="D84" s="19">
        <f>IFERROR(SUM(Data!#REF!)/(Data!#REF!+Data!#REF!+Data!#REF!),0)</f>
        <v>0</v>
      </c>
      <c r="E84" s="20"/>
      <c r="F84" s="13"/>
      <c r="G84" s="13"/>
      <c r="H84" s="13"/>
    </row>
    <row r="85" spans="1:21" x14ac:dyDescent="0.35">
      <c r="B85" s="13"/>
      <c r="C85" s="20" t="s">
        <v>21</v>
      </c>
      <c r="D85" s="19">
        <f>IFERROR(SUM(Data!#REF!)/(Data!#REF!+Data!#REF!+Data!#REF!),0)</f>
        <v>0</v>
      </c>
      <c r="E85" s="20"/>
      <c r="F85" s="13"/>
      <c r="G85" s="13"/>
      <c r="H85" s="13"/>
    </row>
    <row r="86" spans="1:21" x14ac:dyDescent="0.35">
      <c r="A86" s="36"/>
      <c r="B86" s="13"/>
      <c r="C86" s="20" t="s">
        <v>17</v>
      </c>
      <c r="D86" s="19">
        <f>IFERROR(SUM(Data!#REF!)/(Data!#REF!+Data!#REF!+Data!#REF!),0)</f>
        <v>0</v>
      </c>
      <c r="E86" s="20"/>
      <c r="F86" s="13"/>
      <c r="G86" s="13"/>
      <c r="H86" s="13"/>
    </row>
    <row r="87" spans="1:21" ht="15.5" x14ac:dyDescent="0.35">
      <c r="A87" s="36"/>
      <c r="B87" s="13"/>
      <c r="C87" s="21" t="s">
        <v>19</v>
      </c>
      <c r="D87" s="22">
        <f>Data!T6</f>
        <v>-0.61615384615384616</v>
      </c>
      <c r="E87" s="21"/>
      <c r="F87" s="13"/>
      <c r="G87" s="13"/>
      <c r="H87" s="13"/>
    </row>
    <row r="88" spans="1:21" x14ac:dyDescent="0.35">
      <c r="A88" s="34"/>
      <c r="B88" s="24"/>
      <c r="C88" s="24"/>
      <c r="D88" s="24"/>
      <c r="E88" s="24"/>
      <c r="F88" s="24"/>
      <c r="G88" s="24"/>
      <c r="H88" s="24"/>
      <c r="I88" s="34"/>
      <c r="J88" s="34"/>
      <c r="K88" s="34"/>
      <c r="L88" s="24"/>
      <c r="M88" s="24"/>
      <c r="N88" s="24"/>
      <c r="O88" s="24"/>
      <c r="P88" s="24"/>
      <c r="Q88" s="24"/>
      <c r="R88" s="24"/>
      <c r="S88" s="24"/>
      <c r="T88" s="24"/>
      <c r="U88" s="24"/>
    </row>
    <row r="89" spans="1:21" x14ac:dyDescent="0.35">
      <c r="A89" s="34"/>
      <c r="B89" s="25"/>
      <c r="C89" s="25"/>
      <c r="D89" s="25"/>
      <c r="E89" s="25"/>
      <c r="F89" s="25"/>
      <c r="G89" s="25"/>
      <c r="H89" s="25"/>
      <c r="I89" s="35"/>
      <c r="J89" s="35"/>
      <c r="K89" s="35"/>
      <c r="L89" s="25"/>
      <c r="M89" s="25"/>
      <c r="N89" s="25"/>
      <c r="O89" s="25"/>
      <c r="P89" s="25"/>
      <c r="Q89" s="25"/>
      <c r="R89" s="25"/>
      <c r="S89" s="24"/>
      <c r="T89" s="24"/>
      <c r="U89" s="24"/>
    </row>
    <row r="90" spans="1:21" x14ac:dyDescent="0.35">
      <c r="A90" s="34"/>
      <c r="B90" s="25">
        <v>2</v>
      </c>
      <c r="C90" s="26" t="str">
        <f>IF(B90=1,Data!#REF!,Data!C12)</f>
        <v>Internal promotion rate</v>
      </c>
      <c r="D90" s="25">
        <f>IF($B$90=1,Data!#REF!,Data!F12)</f>
        <v>5.0583657587548639E-2</v>
      </c>
      <c r="E90" s="25">
        <f>IF($B$90=1,Data!#REF!,Data!G12)</f>
        <v>7.0000000000000007E-2</v>
      </c>
      <c r="F90" s="25">
        <f>IF($B$90=1,Data!#REF!,Data!H12)</f>
        <v>0.08</v>
      </c>
      <c r="G90" s="25">
        <f>IF($B$90=1,Data!#REF!,Data!I12)</f>
        <v>4.687122493355883E-2</v>
      </c>
      <c r="H90" s="25">
        <f>IF($B$90=1,Data!#REF!,Data!J12)</f>
        <v>0.11934349355216882</v>
      </c>
      <c r="I90" s="35">
        <f>IF($B$90=1,Data!#REF!,Data!K12)</f>
        <v>8.4789796882380725E-2</v>
      </c>
      <c r="J90" s="35">
        <f>IF($B$90=1,Data!#REF!,Data!L12)</f>
        <v>0.09</v>
      </c>
      <c r="K90" s="35">
        <f>IF($B$90=1,Data!#REF!,Data!M12)</f>
        <v>0.13053712818317997</v>
      </c>
      <c r="L90" s="25">
        <f>IF($B$90=1,Data!#REF!,Data!N12)</f>
        <v>0.10812553740326741</v>
      </c>
      <c r="M90" s="25">
        <f>IF($B$90=1,Data!#REF!,Data!O12)</f>
        <v>7.5921375921375919E-2</v>
      </c>
      <c r="N90" s="25">
        <f>IF($B$90=1,Data!#REF!,Data!P12)</f>
        <v>0.11</v>
      </c>
      <c r="O90" s="25">
        <f>IF($B$90=1,Data!#REF!,Data!Q12)</f>
        <v>0.13</v>
      </c>
      <c r="P90" s="25"/>
      <c r="Q90" s="25"/>
      <c r="R90" s="25"/>
      <c r="S90" s="24"/>
      <c r="T90" s="24"/>
      <c r="U90" s="24"/>
    </row>
    <row r="91" spans="1:21" x14ac:dyDescent="0.35">
      <c r="A91" s="34"/>
      <c r="B91" s="25"/>
      <c r="C91" s="25"/>
      <c r="D91" s="25"/>
      <c r="E91" s="25"/>
      <c r="F91" s="25"/>
      <c r="G91" s="25"/>
      <c r="H91" s="25"/>
      <c r="I91" s="35"/>
      <c r="J91" s="35"/>
      <c r="K91" s="35"/>
      <c r="L91" s="25"/>
      <c r="M91" s="25"/>
      <c r="N91" s="25"/>
      <c r="O91" s="25"/>
      <c r="P91" s="25"/>
      <c r="Q91" s="25"/>
      <c r="R91" s="25"/>
      <c r="S91" s="24"/>
      <c r="T91" s="24"/>
      <c r="U91" s="24"/>
    </row>
    <row r="92" spans="1:21" x14ac:dyDescent="0.35">
      <c r="A92" s="34"/>
      <c r="B92" s="25"/>
      <c r="C92" s="25"/>
      <c r="D92" s="25"/>
      <c r="E92" s="25"/>
      <c r="F92" s="25"/>
      <c r="G92" s="25"/>
      <c r="H92" s="25"/>
      <c r="I92" s="35"/>
      <c r="J92" s="35"/>
      <c r="K92" s="35"/>
      <c r="L92" s="25"/>
      <c r="M92" s="25"/>
      <c r="N92" s="25"/>
      <c r="O92" s="25"/>
      <c r="P92" s="25"/>
      <c r="Q92" s="25"/>
      <c r="R92" s="25"/>
      <c r="S92" s="24"/>
      <c r="T92" s="24"/>
      <c r="U92" s="24"/>
    </row>
    <row r="93" spans="1:21" x14ac:dyDescent="0.35">
      <c r="A93" s="34"/>
      <c r="B93" s="25"/>
      <c r="C93" s="25"/>
      <c r="D93" s="25"/>
      <c r="E93" s="25"/>
      <c r="F93" s="25"/>
      <c r="G93" s="25"/>
      <c r="H93" s="25"/>
      <c r="I93" s="35"/>
      <c r="J93" s="35"/>
      <c r="K93" s="35"/>
      <c r="L93" s="25"/>
      <c r="M93" s="25"/>
      <c r="N93" s="25"/>
      <c r="O93" s="25"/>
      <c r="P93" s="25"/>
      <c r="Q93" s="25"/>
      <c r="R93" s="25"/>
      <c r="S93" s="24"/>
      <c r="T93" s="24"/>
      <c r="U93" s="24"/>
    </row>
    <row r="94" spans="1:21" x14ac:dyDescent="0.35">
      <c r="A94" s="34"/>
      <c r="B94" s="24"/>
      <c r="C94" s="24"/>
      <c r="D94" s="24"/>
      <c r="E94" s="24"/>
      <c r="F94" s="24"/>
      <c r="G94" s="24"/>
      <c r="H94" s="24"/>
      <c r="I94" s="34"/>
      <c r="J94" s="34"/>
      <c r="K94" s="34"/>
      <c r="L94" s="24"/>
      <c r="M94" s="24"/>
      <c r="N94" s="24"/>
      <c r="O94" s="24"/>
      <c r="P94" s="24"/>
      <c r="Q94" s="24"/>
      <c r="R94" s="24"/>
      <c r="S94" s="24"/>
      <c r="T94" s="24"/>
      <c r="U94" s="24"/>
    </row>
    <row r="95" spans="1:21" x14ac:dyDescent="0.35">
      <c r="A95" s="34"/>
      <c r="B95" s="24"/>
      <c r="C95" s="24"/>
      <c r="D95" s="24"/>
      <c r="E95" s="24"/>
      <c r="F95" s="24"/>
      <c r="G95" s="24"/>
      <c r="H95" s="24"/>
      <c r="I95" s="34"/>
      <c r="J95" s="34"/>
      <c r="K95" s="34"/>
      <c r="L95" s="24"/>
      <c r="M95" s="24"/>
      <c r="N95" s="24"/>
      <c r="O95" s="24"/>
      <c r="P95" s="24"/>
      <c r="Q95" s="24"/>
      <c r="R95" s="24"/>
      <c r="S95" s="24"/>
      <c r="T95" s="24"/>
      <c r="U95" s="24"/>
    </row>
    <row r="96" spans="1:21" x14ac:dyDescent="0.35">
      <c r="A96" s="34"/>
      <c r="B96" s="24"/>
      <c r="C96" s="24"/>
      <c r="D96" s="24"/>
      <c r="E96" s="24"/>
      <c r="F96" s="24"/>
      <c r="G96" s="24"/>
      <c r="H96" s="24"/>
      <c r="I96" s="34"/>
      <c r="J96" s="34"/>
      <c r="K96" s="34"/>
      <c r="L96" s="24"/>
      <c r="M96" s="24"/>
      <c r="N96" s="24"/>
      <c r="O96" s="24"/>
      <c r="P96" s="24"/>
      <c r="Q96" s="24"/>
      <c r="R96" s="24"/>
      <c r="S96" s="24"/>
      <c r="T96" s="24"/>
      <c r="U96" s="24"/>
    </row>
    <row r="97" spans="1:21" x14ac:dyDescent="0.35">
      <c r="A97" s="34"/>
      <c r="B97" s="24"/>
      <c r="C97" s="24"/>
      <c r="D97" s="24"/>
      <c r="E97" s="24"/>
      <c r="F97" s="24"/>
      <c r="G97" s="24"/>
      <c r="H97" s="24"/>
      <c r="I97" s="34"/>
      <c r="J97" s="34"/>
      <c r="K97" s="34"/>
      <c r="L97" s="24"/>
      <c r="M97" s="24"/>
      <c r="N97" s="24"/>
      <c r="O97" s="24"/>
      <c r="P97" s="24"/>
      <c r="Q97" s="24"/>
      <c r="R97" s="24"/>
      <c r="S97" s="24"/>
      <c r="T97" s="24"/>
      <c r="U97" s="24"/>
    </row>
    <row r="98" spans="1:21" x14ac:dyDescent="0.35">
      <c r="A98" s="34"/>
      <c r="B98" s="24"/>
      <c r="C98" s="24"/>
      <c r="D98" s="24"/>
      <c r="E98" s="24"/>
      <c r="F98" s="24"/>
      <c r="G98" s="24"/>
      <c r="H98" s="24"/>
      <c r="I98" s="34"/>
      <c r="J98" s="34"/>
      <c r="K98" s="34"/>
      <c r="L98" s="24"/>
      <c r="M98" s="24"/>
      <c r="N98" s="24"/>
      <c r="O98" s="24"/>
      <c r="P98" s="24"/>
      <c r="Q98" s="24"/>
      <c r="R98" s="24"/>
      <c r="S98" s="24"/>
      <c r="T98" s="24"/>
      <c r="U98" s="24"/>
    </row>
    <row r="99" spans="1:21" x14ac:dyDescent="0.35">
      <c r="A99" s="34"/>
      <c r="B99" s="24"/>
      <c r="C99" s="24"/>
      <c r="D99" s="24"/>
      <c r="E99" s="24"/>
      <c r="F99" s="24"/>
      <c r="G99" s="24"/>
      <c r="H99" s="24"/>
      <c r="I99" s="34"/>
      <c r="J99" s="34"/>
      <c r="K99" s="34"/>
      <c r="L99" s="24"/>
      <c r="M99" s="24"/>
      <c r="N99" s="24"/>
      <c r="O99" s="24"/>
      <c r="P99" s="24"/>
      <c r="Q99" s="24"/>
      <c r="R99" s="24"/>
      <c r="S99" s="24"/>
      <c r="T99" s="24"/>
      <c r="U99" s="24"/>
    </row>
    <row r="100" spans="1:21" x14ac:dyDescent="0.35">
      <c r="A100" s="34"/>
      <c r="B100" s="24"/>
      <c r="C100" s="24"/>
      <c r="D100" s="24"/>
      <c r="E100" s="24"/>
      <c r="F100" s="24"/>
      <c r="G100" s="24"/>
      <c r="H100" s="24"/>
      <c r="I100" s="34"/>
      <c r="J100" s="34"/>
      <c r="K100" s="34"/>
      <c r="L100" s="24"/>
      <c r="M100" s="24"/>
      <c r="N100" s="24"/>
      <c r="O100" s="24"/>
      <c r="P100" s="24"/>
      <c r="Q100" s="24"/>
      <c r="R100" s="24"/>
      <c r="S100" s="24"/>
      <c r="T100" s="24"/>
      <c r="U100" s="24"/>
    </row>
    <row r="101" spans="1:21" x14ac:dyDescent="0.35">
      <c r="A101" s="34"/>
      <c r="B101" s="24"/>
      <c r="C101" s="24"/>
      <c r="D101" s="24"/>
      <c r="E101" s="24"/>
      <c r="F101" s="24"/>
      <c r="G101" s="24"/>
      <c r="H101" s="24"/>
      <c r="I101" s="34"/>
      <c r="J101" s="34"/>
      <c r="K101" s="34"/>
      <c r="L101" s="24"/>
      <c r="M101" s="24"/>
      <c r="N101" s="24"/>
      <c r="O101" s="24"/>
      <c r="P101" s="24"/>
      <c r="Q101" s="24"/>
      <c r="R101" s="24"/>
      <c r="S101" s="24"/>
      <c r="T101" s="24"/>
      <c r="U101" s="24"/>
    </row>
    <row r="102" spans="1:21" x14ac:dyDescent="0.35">
      <c r="B102" s="24"/>
      <c r="C102" s="24"/>
      <c r="D102" s="24"/>
      <c r="E102" s="24"/>
      <c r="F102" s="24"/>
      <c r="G102" s="24"/>
      <c r="H102" s="24"/>
      <c r="I102" s="34"/>
      <c r="J102" s="34"/>
      <c r="K102" s="34"/>
      <c r="L102" s="24"/>
      <c r="M102" s="24"/>
      <c r="N102" s="24"/>
      <c r="O102" s="24"/>
      <c r="P102" s="24"/>
    </row>
    <row r="103" spans="1:21" x14ac:dyDescent="0.35">
      <c r="B103" s="24"/>
      <c r="C103" s="24"/>
      <c r="D103" s="24"/>
      <c r="E103" s="24"/>
      <c r="F103" s="24"/>
      <c r="G103" s="24"/>
      <c r="H103" s="24"/>
      <c r="I103" s="34"/>
      <c r="J103" s="34"/>
      <c r="K103" s="34"/>
      <c r="L103" s="24"/>
      <c r="M103" s="24"/>
      <c r="N103" s="24"/>
      <c r="O103" s="24"/>
      <c r="P103" s="24"/>
    </row>
    <row r="104" spans="1:21" x14ac:dyDescent="0.35">
      <c r="B104" s="24"/>
      <c r="C104" s="24"/>
      <c r="D104" s="24"/>
      <c r="E104" s="24"/>
      <c r="F104" s="24"/>
      <c r="G104" s="24"/>
      <c r="H104" s="24"/>
      <c r="I104" s="34"/>
      <c r="J104" s="34"/>
      <c r="K104" s="34"/>
      <c r="L104" s="24"/>
      <c r="M104" s="24"/>
      <c r="N104" s="24"/>
      <c r="O104" s="24"/>
      <c r="P104" s="24"/>
    </row>
    <row r="105" spans="1:21" x14ac:dyDescent="0.35">
      <c r="B105" s="24"/>
      <c r="C105" s="24"/>
      <c r="D105" s="24"/>
      <c r="E105" s="24"/>
      <c r="F105" s="24"/>
      <c r="G105" s="24"/>
      <c r="H105" s="24"/>
      <c r="I105" s="34"/>
      <c r="J105" s="34"/>
      <c r="K105" s="34"/>
      <c r="L105" s="24"/>
      <c r="M105" s="24"/>
      <c r="N105" s="24"/>
      <c r="O105" s="24"/>
      <c r="P105" s="24"/>
    </row>
    <row r="106" spans="1:21" x14ac:dyDescent="0.35">
      <c r="B106" s="24"/>
      <c r="C106" s="24"/>
      <c r="D106" s="24"/>
      <c r="E106" s="24"/>
      <c r="F106" s="24"/>
      <c r="G106" s="24"/>
      <c r="H106" s="24"/>
      <c r="I106" s="34"/>
      <c r="J106" s="34"/>
      <c r="K106" s="34"/>
      <c r="L106" s="24"/>
      <c r="M106" s="24"/>
      <c r="N106" s="24"/>
      <c r="O106" s="24"/>
      <c r="P106" s="24"/>
    </row>
  </sheetData>
  <mergeCells count="36">
    <mergeCell ref="B13:D13"/>
    <mergeCell ref="B14:D15"/>
    <mergeCell ref="B17:D17"/>
    <mergeCell ref="F14:H15"/>
    <mergeCell ref="F13:H13"/>
    <mergeCell ref="F17:H17"/>
    <mergeCell ref="P17:R17"/>
    <mergeCell ref="L11:N11"/>
    <mergeCell ref="P11:R11"/>
    <mergeCell ref="T7:U7"/>
    <mergeCell ref="T13:U13"/>
    <mergeCell ref="P13:R13"/>
    <mergeCell ref="T14:U15"/>
    <mergeCell ref="T8:U9"/>
    <mergeCell ref="T17:U17"/>
    <mergeCell ref="P14:R15"/>
    <mergeCell ref="L8:N9"/>
    <mergeCell ref="L13:N13"/>
    <mergeCell ref="L17:N17"/>
    <mergeCell ref="L14:N15"/>
    <mergeCell ref="P8:R9"/>
    <mergeCell ref="L7:N7"/>
    <mergeCell ref="B1:F1"/>
    <mergeCell ref="N1:P1"/>
    <mergeCell ref="F11:H11"/>
    <mergeCell ref="B11:D11"/>
    <mergeCell ref="T11:U11"/>
    <mergeCell ref="B7:D7"/>
    <mergeCell ref="F7:H7"/>
    <mergeCell ref="P7:R7"/>
    <mergeCell ref="B8:D9"/>
    <mergeCell ref="F8:H9"/>
    <mergeCell ref="B2:C2"/>
    <mergeCell ref="F2:H2"/>
    <mergeCell ref="P2:Q2"/>
    <mergeCell ref="T2:U2"/>
  </mergeCells>
  <conditionalFormatting sqref="D87">
    <cfRule type="expression" dxfId="29" priority="21">
      <formula>$D$87&lt;0</formula>
    </cfRule>
    <cfRule type="expression" dxfId="28" priority="22">
      <formula>$D$87&gt;0</formula>
    </cfRule>
  </conditionalFormatting>
  <conditionalFormatting sqref="E87">
    <cfRule type="expression" dxfId="27" priority="19">
      <formula>$D$87&lt;0</formula>
    </cfRule>
  </conditionalFormatting>
  <dataValidations count="1">
    <dataValidation type="list" allowBlank="1" showInputMessage="1" showErrorMessage="1" sqref="X2" xr:uid="{00000000-0002-0000-0100-000000000000}">
      <formula1>Months</formula1>
    </dataValidation>
  </dataValidations>
  <pageMargins left="0.25" right="0.25" top="0.75" bottom="0.75" header="0.3" footer="0.3"/>
  <pageSetup scale="70" orientation="landscape" r:id="rId1"/>
  <colBreaks count="1" manualBreakCount="1">
    <brk id="19" max="69" man="1"/>
  </colBreak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B0256-42D5-42E1-BA76-B563807C0793}">
  <sheetPr codeName="Sheet3"/>
  <dimension ref="B1:Z55"/>
  <sheetViews>
    <sheetView showGridLines="0" zoomScale="170" zoomScaleNormal="170" workbookViewId="0">
      <selection activeCell="Z3" sqref="Z3"/>
    </sheetView>
  </sheetViews>
  <sheetFormatPr defaultRowHeight="14.5" x14ac:dyDescent="0.35"/>
  <cols>
    <col min="1" max="1" width="0.54296875" customWidth="1"/>
    <col min="2" max="2" width="6.81640625" customWidth="1"/>
    <col min="3" max="3" width="6" customWidth="1"/>
    <col min="4" max="4" width="8.7265625" bestFit="1" customWidth="1"/>
    <col min="5" max="5" width="9.81640625" customWidth="1"/>
    <col min="6" max="6" width="10.26953125" customWidth="1"/>
    <col min="7" max="7" width="8.1796875" customWidth="1"/>
    <col min="8" max="8" width="6.453125" bestFit="1" customWidth="1"/>
    <col min="9" max="15" width="5.26953125" customWidth="1"/>
    <col min="16" max="16" width="7.54296875" bestFit="1" customWidth="1"/>
    <col min="17" max="17" width="4.54296875" customWidth="1"/>
    <col min="18" max="24" width="1" customWidth="1"/>
    <col min="26" max="26" width="15.1796875" bestFit="1" customWidth="1"/>
  </cols>
  <sheetData>
    <row r="1" spans="2:26" ht="5.25" customHeight="1" x14ac:dyDescent="0.35">
      <c r="R1" s="187"/>
      <c r="S1" s="187"/>
    </row>
    <row r="2" spans="2:26" ht="2.25" customHeight="1" x14ac:dyDescent="0.35">
      <c r="R2" s="187"/>
      <c r="S2" s="187"/>
    </row>
    <row r="3" spans="2:26" ht="15" x14ac:dyDescent="0.4">
      <c r="C3" s="67" t="s">
        <v>24</v>
      </c>
      <c r="D3" s="67"/>
      <c r="E3" s="67"/>
      <c r="F3" s="67" t="str">
        <f>Dashboard!X2</f>
        <v>Aug</v>
      </c>
      <c r="G3" s="68" t="str">
        <f>_xlfn.IFNA(_xlfn.XLOOKUP(_xlfn.XMATCH(F3,R3:R14,0)-1,S3:S14,R3:R14),"Jan")</f>
        <v>Jul</v>
      </c>
      <c r="H3" s="68" t="s">
        <v>45</v>
      </c>
      <c r="R3" s="89" t="s">
        <v>0</v>
      </c>
      <c r="S3" s="89">
        <v>1</v>
      </c>
      <c r="Z3" s="116" t="s">
        <v>46</v>
      </c>
    </row>
    <row r="4" spans="2:26" ht="16" x14ac:dyDescent="0.35">
      <c r="B4" s="57"/>
      <c r="C4" s="184" t="str">
        <f>Data!C6</f>
        <v>Absence rate</v>
      </c>
      <c r="D4" s="184"/>
      <c r="E4" s="184"/>
      <c r="F4" s="63">
        <f>_xlfn.XLOOKUP($F$3,Months,Data!F6:Q6)</f>
        <v>4.99E-2</v>
      </c>
      <c r="G4" s="63">
        <f>_xlfn.XLOOKUP($G$3,Months,Data!F6:Q6)</f>
        <v>0.13</v>
      </c>
      <c r="H4" s="69">
        <f t="shared" ref="H4:H13" si="0">(F4/G4)-100%</f>
        <v>-0.61615384615384616</v>
      </c>
      <c r="R4" s="89" t="s">
        <v>1</v>
      </c>
      <c r="S4" s="89">
        <v>2</v>
      </c>
    </row>
    <row r="5" spans="2:26" ht="16" x14ac:dyDescent="0.35">
      <c r="B5" s="58"/>
      <c r="C5" s="184" t="str">
        <f>Data!C7</f>
        <v>Absence cost</v>
      </c>
      <c r="D5" s="184"/>
      <c r="E5" s="184"/>
      <c r="F5" s="61">
        <f>_xlfn.XLOOKUP($F$3,Months,Data!F7:Q7)</f>
        <v>1288</v>
      </c>
      <c r="G5" s="61">
        <f>_xlfn.XLOOKUP($G$3,Months,Data!F7:Q7)</f>
        <v>1349</v>
      </c>
      <c r="H5" s="69">
        <f t="shared" si="0"/>
        <v>-4.5218680504077069E-2</v>
      </c>
      <c r="R5" s="89" t="s">
        <v>2</v>
      </c>
      <c r="S5" s="89">
        <v>3</v>
      </c>
    </row>
    <row r="6" spans="2:26" ht="16" x14ac:dyDescent="0.35">
      <c r="B6" s="58"/>
      <c r="C6" s="184" t="str">
        <f>Data!C8</f>
        <v>Benefits satisfaction</v>
      </c>
      <c r="D6" s="184"/>
      <c r="E6" s="184"/>
      <c r="F6" s="63">
        <f>_xlfn.XLOOKUP($F$3,Months,Data!F8:Q8)</f>
        <v>0.79</v>
      </c>
      <c r="G6" s="63">
        <f>_xlfn.XLOOKUP($G$3,Months,Data!F8:Q8)</f>
        <v>0.71</v>
      </c>
      <c r="H6" s="63">
        <f t="shared" si="0"/>
        <v>0.11267605633802824</v>
      </c>
      <c r="R6" s="89" t="s">
        <v>5</v>
      </c>
      <c r="S6" s="89">
        <v>4</v>
      </c>
    </row>
    <row r="7" spans="2:26" ht="16" x14ac:dyDescent="0.35">
      <c r="B7" s="57"/>
      <c r="C7" s="184" t="str">
        <f>Data!C9</f>
        <v>Productivity rate</v>
      </c>
      <c r="D7" s="184"/>
      <c r="E7" s="184"/>
      <c r="F7" s="63">
        <f>_xlfn.XLOOKUP($F$3,Months,Data!F9:Q9)</f>
        <v>0.8</v>
      </c>
      <c r="G7" s="63">
        <f>_xlfn.XLOOKUP($G$3,Months,Data!F9:Q9)</f>
        <v>0.85</v>
      </c>
      <c r="H7" s="63">
        <f t="shared" si="0"/>
        <v>-5.8823529411764608E-2</v>
      </c>
      <c r="R7" s="89" t="s">
        <v>9</v>
      </c>
      <c r="S7" s="89">
        <v>5</v>
      </c>
    </row>
    <row r="8" spans="2:26" ht="16" x14ac:dyDescent="0.35">
      <c r="B8" s="58"/>
      <c r="C8" s="184" t="str">
        <f>Data!C10</f>
        <v>Satisfaction index</v>
      </c>
      <c r="D8" s="184"/>
      <c r="E8" s="184"/>
      <c r="F8" s="63">
        <f>_xlfn.XLOOKUP($F$3,Months,Data!F10:Q10)</f>
        <v>0.71</v>
      </c>
      <c r="G8" s="63">
        <f>_xlfn.XLOOKUP($G$3,Months,Data!F10:Q10)</f>
        <v>0.9</v>
      </c>
      <c r="H8" s="63">
        <f t="shared" si="0"/>
        <v>-0.21111111111111114</v>
      </c>
      <c r="R8" s="89" t="s">
        <v>6</v>
      </c>
      <c r="S8" s="89">
        <v>6</v>
      </c>
    </row>
    <row r="9" spans="2:26" ht="16" x14ac:dyDescent="0.35">
      <c r="B9" s="58"/>
      <c r="C9" s="184" t="str">
        <f>Data!C11</f>
        <v>Engagement index</v>
      </c>
      <c r="D9" s="184"/>
      <c r="E9" s="184"/>
      <c r="F9" s="63">
        <f>_xlfn.XLOOKUP($F$3,Months,Data!F11:Q11)</f>
        <v>0.38</v>
      </c>
      <c r="G9" s="63">
        <f>_xlfn.XLOOKUP($G$3,Months,Data!F11:Q11)</f>
        <v>0.68</v>
      </c>
      <c r="H9" s="63">
        <f t="shared" si="0"/>
        <v>-0.44117647058823528</v>
      </c>
      <c r="R9" s="89" t="s">
        <v>7</v>
      </c>
      <c r="S9" s="89">
        <v>7</v>
      </c>
    </row>
    <row r="10" spans="2:26" ht="16" x14ac:dyDescent="0.35">
      <c r="B10" s="57"/>
      <c r="C10" s="184" t="str">
        <f>Data!C12</f>
        <v>Internal promotion rate</v>
      </c>
      <c r="D10" s="184"/>
      <c r="E10" s="184"/>
      <c r="F10" s="63">
        <f>_xlfn.XLOOKUP($F$3,Months,Data!F12:Q12)</f>
        <v>0.13053712818317997</v>
      </c>
      <c r="G10" s="63">
        <f>_xlfn.XLOOKUP($G$3,Months,Data!F12:Q12)</f>
        <v>0.09</v>
      </c>
      <c r="H10" s="63">
        <f t="shared" si="0"/>
        <v>0.45041253536866632</v>
      </c>
      <c r="R10" s="89" t="s">
        <v>8</v>
      </c>
      <c r="S10" s="89">
        <v>8</v>
      </c>
    </row>
    <row r="11" spans="2:26" ht="16" x14ac:dyDescent="0.35">
      <c r="B11" s="58"/>
      <c r="C11" s="184" t="str">
        <f>Data!C13</f>
        <v>Net Promoter Score</v>
      </c>
      <c r="D11" s="184"/>
      <c r="E11" s="184"/>
      <c r="F11" s="61">
        <f>_xlfn.XLOOKUP($F$3,Months,Data!F13:Q13)</f>
        <v>9</v>
      </c>
      <c r="G11" s="61">
        <f>_xlfn.XLOOKUP($G$3,Months,Data!F13:Q13)</f>
        <v>8</v>
      </c>
      <c r="H11" s="63">
        <f t="shared" si="0"/>
        <v>0.125</v>
      </c>
      <c r="R11" s="89" t="s">
        <v>10</v>
      </c>
      <c r="S11" s="89">
        <v>9</v>
      </c>
    </row>
    <row r="12" spans="2:26" ht="16" x14ac:dyDescent="0.35">
      <c r="B12" s="58"/>
      <c r="C12" s="184" t="str">
        <f>Data!C14</f>
        <v>Quality of hire</v>
      </c>
      <c r="D12" s="184"/>
      <c r="E12" s="184"/>
      <c r="F12" s="63">
        <f>_xlfn.XLOOKUP($F$3,Months,Data!F14:Q14)</f>
        <v>0.44</v>
      </c>
      <c r="G12" s="63">
        <f>_xlfn.XLOOKUP($G$3,Months,Data!F14:Q14)</f>
        <v>0.46379999999999999</v>
      </c>
      <c r="H12" s="63">
        <f t="shared" si="0"/>
        <v>-5.1315222078482048E-2</v>
      </c>
      <c r="R12" s="89" t="s">
        <v>11</v>
      </c>
      <c r="S12" s="89">
        <v>10</v>
      </c>
    </row>
    <row r="13" spans="2:26" ht="16" x14ac:dyDescent="0.35">
      <c r="B13" s="58"/>
      <c r="C13" s="184" t="str">
        <f>Data!C15</f>
        <v>Turnover rate</v>
      </c>
      <c r="D13" s="184"/>
      <c r="E13" s="184"/>
      <c r="F13" s="86">
        <f>_xlfn.XLOOKUP($F$3,Months,Data!F15:Q15)</f>
        <v>0.08</v>
      </c>
      <c r="G13" s="86">
        <f>_xlfn.XLOOKUP($G$3,Months,Data!F15:Q15)</f>
        <v>0.11</v>
      </c>
      <c r="H13" s="86">
        <f t="shared" si="0"/>
        <v>-0.27272727272727271</v>
      </c>
      <c r="R13" s="89" t="s">
        <v>12</v>
      </c>
      <c r="S13" s="89">
        <v>11</v>
      </c>
    </row>
    <row r="14" spans="2:26" ht="16" x14ac:dyDescent="0.35">
      <c r="B14" s="55"/>
      <c r="R14" s="89" t="s">
        <v>13</v>
      </c>
      <c r="S14" s="89">
        <v>12</v>
      </c>
    </row>
    <row r="15" spans="2:26" x14ac:dyDescent="0.35">
      <c r="B15" s="186"/>
      <c r="C15" s="184" t="str">
        <f>Data!C16</f>
        <v>90-day quit rate (%)</v>
      </c>
      <c r="D15" s="184"/>
      <c r="E15" s="184"/>
      <c r="F15" s="65">
        <f>_xlfn.XLOOKUP($F$3,Months,Data!F16:Q16)</f>
        <v>0.16</v>
      </c>
      <c r="G15" s="63">
        <f>_xlfn.XLOOKUP($G$3,Months,Data!F16:Q16)</f>
        <v>0.1</v>
      </c>
      <c r="H15" s="63">
        <f t="shared" ref="H15:H20" si="1">(F15/G15)-100%</f>
        <v>0.59999999999999987</v>
      </c>
    </row>
    <row r="16" spans="2:26" x14ac:dyDescent="0.35">
      <c r="B16" s="186"/>
      <c r="C16" s="184" t="str">
        <f>Data!C17</f>
        <v>Training effectiveness (%)</v>
      </c>
      <c r="D16" s="184"/>
      <c r="E16" s="184"/>
      <c r="F16" s="65">
        <f>_xlfn.XLOOKUP($F$3,Months,Data!F17:Q17)</f>
        <v>0.61129999999999995</v>
      </c>
      <c r="G16" s="63">
        <f>_xlfn.XLOOKUP($G$3,Months,Data!F17:Q17)</f>
        <v>0.5998</v>
      </c>
      <c r="H16" s="63">
        <f t="shared" si="1"/>
        <v>1.9173057685895278E-2</v>
      </c>
    </row>
    <row r="17" spans="2:17" ht="15" thickBot="1" x14ac:dyDescent="0.4">
      <c r="B17" s="186"/>
      <c r="C17" s="185" t="str">
        <f>Data!C18</f>
        <v>Acceptance Ratio (%)</v>
      </c>
      <c r="D17" s="185"/>
      <c r="E17" s="185"/>
      <c r="F17" s="66">
        <f>_xlfn.XLOOKUP($F$3,Months,Data!F18:Q18)</f>
        <v>0.9</v>
      </c>
      <c r="G17" s="64">
        <f>_xlfn.XLOOKUP($G$3,Months,Data!F18:Q18)</f>
        <v>0.92</v>
      </c>
      <c r="H17" s="64">
        <f t="shared" si="1"/>
        <v>-2.1739130434782594E-2</v>
      </c>
    </row>
    <row r="18" spans="2:17" ht="15" thickTop="1" x14ac:dyDescent="0.35">
      <c r="B18" s="186"/>
      <c r="C18" s="184" t="s">
        <v>42</v>
      </c>
      <c r="D18" s="184"/>
      <c r="E18" s="184"/>
      <c r="F18" s="62">
        <f>_xlfn.XLOOKUP($F$3,Months,Data!F19:Q19)</f>
        <v>20</v>
      </c>
      <c r="G18" s="62">
        <f>_xlfn.XLOOKUP($G$3,Months,Data!F19:Q19)</f>
        <v>15</v>
      </c>
      <c r="H18" s="63">
        <f t="shared" si="1"/>
        <v>0.33333333333333326</v>
      </c>
    </row>
    <row r="19" spans="2:17" x14ac:dyDescent="0.35">
      <c r="B19" s="186"/>
      <c r="C19" s="184" t="s">
        <v>40</v>
      </c>
      <c r="D19" s="184"/>
      <c r="E19" s="184"/>
      <c r="F19" s="62">
        <f>_xlfn.XLOOKUP($F$3,Months,Data!F20:Q20)</f>
        <v>15</v>
      </c>
      <c r="G19" s="62">
        <f>_xlfn.XLOOKUP($G$3,Months,Data!F20:Q20)</f>
        <v>20</v>
      </c>
      <c r="H19" s="63">
        <f t="shared" si="1"/>
        <v>-0.25</v>
      </c>
    </row>
    <row r="20" spans="2:17" x14ac:dyDescent="0.35">
      <c r="B20" s="186"/>
      <c r="C20" s="184" t="s">
        <v>19</v>
      </c>
      <c r="D20" s="184"/>
      <c r="E20" s="184"/>
      <c r="F20" s="62">
        <f>_xlfn.XLOOKUP($F$3,Months,Data!F21:Q21)</f>
        <v>35</v>
      </c>
      <c r="G20" s="62">
        <f>_xlfn.XLOOKUP($G$3,Months,Data!F21:Q21)</f>
        <v>35</v>
      </c>
      <c r="H20" s="63">
        <f t="shared" si="1"/>
        <v>0</v>
      </c>
    </row>
    <row r="21" spans="2:17" ht="16" x14ac:dyDescent="0.35">
      <c r="B21" s="59"/>
      <c r="C21" s="60"/>
      <c r="D21" s="60"/>
      <c r="E21" s="60"/>
    </row>
    <row r="22" spans="2:17" ht="16" x14ac:dyDescent="0.35">
      <c r="B22" s="59"/>
      <c r="C22" s="60"/>
      <c r="D22" s="60"/>
      <c r="E22" s="60"/>
    </row>
    <row r="23" spans="2:17" x14ac:dyDescent="0.35">
      <c r="C23" s="50" t="s">
        <v>38</v>
      </c>
      <c r="D23" s="51" t="s">
        <v>22</v>
      </c>
      <c r="E23" s="50" t="s">
        <v>39</v>
      </c>
    </row>
    <row r="24" spans="2:17" x14ac:dyDescent="0.35">
      <c r="C24" s="40" t="s">
        <v>35</v>
      </c>
      <c r="D24" s="42">
        <f>Data!R16</f>
        <v>0.16</v>
      </c>
      <c r="E24" s="42">
        <f>100%-D24</f>
        <v>0.84</v>
      </c>
      <c r="H24" s="46"/>
    </row>
    <row r="25" spans="2:17" x14ac:dyDescent="0.35">
      <c r="C25" s="40" t="s">
        <v>36</v>
      </c>
      <c r="D25" s="42">
        <f>Data!R17</f>
        <v>0.61129999999999995</v>
      </c>
      <c r="E25" s="42">
        <f t="shared" ref="E25:E26" si="2">100%-D25</f>
        <v>0.38870000000000005</v>
      </c>
      <c r="H25" s="46"/>
    </row>
    <row r="26" spans="2:17" x14ac:dyDescent="0.35">
      <c r="C26" s="40" t="s">
        <v>37</v>
      </c>
      <c r="D26" s="42">
        <f>Data!R18</f>
        <v>0.9</v>
      </c>
      <c r="E26" s="42">
        <f t="shared" si="2"/>
        <v>9.9999999999999978E-2</v>
      </c>
      <c r="H26" s="46"/>
    </row>
    <row r="27" spans="2:17" x14ac:dyDescent="0.35">
      <c r="H27" s="46"/>
    </row>
    <row r="28" spans="2:17" x14ac:dyDescent="0.35">
      <c r="B28" s="39"/>
      <c r="H28" s="48"/>
    </row>
    <row r="29" spans="2:17" x14ac:dyDescent="0.35">
      <c r="B29" s="39"/>
      <c r="C29" s="39"/>
      <c r="D29" s="39"/>
      <c r="E29" s="39"/>
      <c r="F29" s="39"/>
      <c r="H29" s="46"/>
    </row>
    <row r="30" spans="2:17" x14ac:dyDescent="0.35">
      <c r="B30" s="39"/>
      <c r="C30" s="39"/>
      <c r="D30" s="39"/>
      <c r="E30" s="39"/>
      <c r="F30" s="39"/>
      <c r="H30" s="46"/>
    </row>
    <row r="31" spans="2:17" x14ac:dyDescent="0.35">
      <c r="B31" s="39"/>
      <c r="C31" s="39"/>
      <c r="D31" s="39"/>
      <c r="E31" s="39"/>
      <c r="F31" s="39"/>
      <c r="H31" s="48"/>
    </row>
    <row r="32" spans="2:17" x14ac:dyDescent="0.35">
      <c r="B32" s="39"/>
      <c r="C32" s="39"/>
      <c r="D32" s="39"/>
      <c r="E32" s="39"/>
      <c r="F32" s="39"/>
      <c r="H32" s="46"/>
      <c r="I32" s="47"/>
      <c r="J32" s="47"/>
      <c r="K32" s="47"/>
      <c r="L32" s="47"/>
      <c r="M32" s="47"/>
      <c r="N32" s="47"/>
      <c r="O32" s="47"/>
      <c r="P32" s="45"/>
      <c r="Q32" s="47"/>
    </row>
    <row r="33" spans="2:17" x14ac:dyDescent="0.35">
      <c r="B33" s="39"/>
      <c r="C33" s="39"/>
      <c r="D33" s="39"/>
      <c r="E33" s="39"/>
      <c r="F33" s="39"/>
      <c r="H33" s="46"/>
      <c r="I33" s="47"/>
      <c r="J33" s="47"/>
      <c r="K33" s="47"/>
      <c r="L33" s="47"/>
      <c r="M33" s="47"/>
      <c r="N33" s="47"/>
      <c r="O33" s="47"/>
      <c r="P33" s="45"/>
      <c r="Q33" s="47"/>
    </row>
    <row r="34" spans="2:17" x14ac:dyDescent="0.35">
      <c r="B34" s="39"/>
      <c r="C34" s="39"/>
      <c r="D34" s="39"/>
      <c r="E34" s="39"/>
      <c r="F34" s="39"/>
      <c r="H34" s="48"/>
      <c r="I34" s="47"/>
      <c r="J34" s="47"/>
      <c r="K34" s="47"/>
      <c r="L34" s="47"/>
      <c r="M34" s="47"/>
      <c r="N34" s="47"/>
      <c r="O34" s="47"/>
      <c r="P34" s="45"/>
      <c r="Q34" s="47"/>
    </row>
    <row r="35" spans="2:17" x14ac:dyDescent="0.35">
      <c r="B35" s="39"/>
      <c r="C35" s="39"/>
      <c r="D35" s="39"/>
      <c r="E35" s="39"/>
      <c r="F35" s="39"/>
    </row>
    <row r="36" spans="2:17" x14ac:dyDescent="0.35">
      <c r="B36" s="39"/>
      <c r="C36" s="39"/>
      <c r="D36" s="39"/>
      <c r="E36" s="39"/>
      <c r="F36" s="39"/>
    </row>
    <row r="37" spans="2:17" x14ac:dyDescent="0.35">
      <c r="B37" s="39"/>
      <c r="C37" s="39"/>
      <c r="D37" s="39"/>
      <c r="E37" s="39"/>
      <c r="F37" s="39"/>
    </row>
    <row r="38" spans="2:17" ht="22.5" customHeight="1" x14ac:dyDescent="0.6">
      <c r="B38" s="39"/>
      <c r="C38" s="39"/>
      <c r="D38" s="39"/>
      <c r="E38" s="39"/>
      <c r="F38" s="39"/>
      <c r="H38" s="52"/>
    </row>
    <row r="39" spans="2:17" x14ac:dyDescent="0.35">
      <c r="B39" s="39"/>
      <c r="C39" s="39"/>
      <c r="D39" s="39"/>
      <c r="E39" s="39"/>
      <c r="F39" s="39"/>
    </row>
    <row r="40" spans="2:17" ht="15.75" customHeight="1" x14ac:dyDescent="0.6">
      <c r="B40" s="39"/>
      <c r="C40" s="39"/>
      <c r="D40" s="39"/>
      <c r="E40" s="39"/>
      <c r="F40" s="39"/>
      <c r="H40" s="52"/>
    </row>
    <row r="41" spans="2:17" x14ac:dyDescent="0.35">
      <c r="C41" s="39"/>
      <c r="D41" s="39"/>
      <c r="E41" s="39"/>
      <c r="F41" s="39"/>
    </row>
    <row r="43" spans="2:17" s="39" customFormat="1" x14ac:dyDescent="0.35">
      <c r="B43"/>
      <c r="C43"/>
      <c r="D43"/>
      <c r="E43"/>
      <c r="F43"/>
    </row>
    <row r="44" spans="2:17" s="39" customFormat="1" x14ac:dyDescent="0.35">
      <c r="B44"/>
      <c r="C44"/>
      <c r="D44"/>
      <c r="E44"/>
      <c r="F44"/>
    </row>
    <row r="45" spans="2:17" s="39" customFormat="1" x14ac:dyDescent="0.35">
      <c r="B45"/>
      <c r="C45"/>
      <c r="D45"/>
      <c r="E45"/>
      <c r="F45"/>
    </row>
    <row r="46" spans="2:17" s="39" customFormat="1" x14ac:dyDescent="0.35">
      <c r="B46"/>
      <c r="C46"/>
      <c r="D46"/>
      <c r="E46"/>
      <c r="F46"/>
    </row>
    <row r="47" spans="2:17" s="39" customFormat="1" x14ac:dyDescent="0.35">
      <c r="B47"/>
      <c r="C47"/>
      <c r="D47"/>
      <c r="E47"/>
      <c r="F47"/>
    </row>
    <row r="48" spans="2:17" s="39" customFormat="1" x14ac:dyDescent="0.35">
      <c r="B48"/>
      <c r="C48"/>
      <c r="D48"/>
      <c r="E48"/>
      <c r="F48"/>
    </row>
    <row r="49" spans="2:18" s="39" customFormat="1" x14ac:dyDescent="0.35">
      <c r="B49"/>
      <c r="C49"/>
      <c r="D49"/>
      <c r="E49"/>
      <c r="F49"/>
    </row>
    <row r="50" spans="2:18" s="39" customFormat="1" x14ac:dyDescent="0.35">
      <c r="B50"/>
      <c r="C50"/>
      <c r="D50"/>
      <c r="E50"/>
      <c r="F50"/>
    </row>
    <row r="51" spans="2:18" s="39" customFormat="1" x14ac:dyDescent="0.35">
      <c r="B51"/>
      <c r="C51"/>
      <c r="D51"/>
      <c r="E51"/>
      <c r="F51"/>
    </row>
    <row r="52" spans="2:18" s="39" customFormat="1" x14ac:dyDescent="0.35">
      <c r="B52"/>
      <c r="C52"/>
      <c r="D52"/>
      <c r="E52"/>
      <c r="F52"/>
    </row>
    <row r="53" spans="2:18" s="39" customFormat="1" x14ac:dyDescent="0.35">
      <c r="B53"/>
      <c r="C53"/>
      <c r="D53"/>
      <c r="E53"/>
      <c r="F53"/>
    </row>
    <row r="54" spans="2:18" s="39" customFormat="1" x14ac:dyDescent="0.35">
      <c r="B54"/>
      <c r="C54"/>
      <c r="D54"/>
      <c r="E54"/>
      <c r="F54"/>
    </row>
    <row r="55" spans="2:18" s="39" customFormat="1" ht="15" thickBot="1" x14ac:dyDescent="0.4">
      <c r="B55"/>
      <c r="C55"/>
      <c r="D55"/>
      <c r="E55"/>
      <c r="F55"/>
      <c r="R55" s="41"/>
    </row>
  </sheetData>
  <mergeCells count="19">
    <mergeCell ref="R1:S2"/>
    <mergeCell ref="C4:E4"/>
    <mergeCell ref="C5:E5"/>
    <mergeCell ref="C6:E6"/>
    <mergeCell ref="C12:E12"/>
    <mergeCell ref="C7:E7"/>
    <mergeCell ref="C8:E8"/>
    <mergeCell ref="C9:E9"/>
    <mergeCell ref="C10:E10"/>
    <mergeCell ref="C11:E11"/>
    <mergeCell ref="C16:E16"/>
    <mergeCell ref="C17:E17"/>
    <mergeCell ref="C13:E13"/>
    <mergeCell ref="B18:B20"/>
    <mergeCell ref="C18:E18"/>
    <mergeCell ref="C19:E19"/>
    <mergeCell ref="C20:E20"/>
    <mergeCell ref="B15:B17"/>
    <mergeCell ref="C15:E15"/>
  </mergeCells>
  <phoneticPr fontId="18" type="noConversion"/>
  <conditionalFormatting sqref="P32">
    <cfRule type="expression" dxfId="26" priority="50">
      <formula>$P$32&lt;0</formula>
    </cfRule>
    <cfRule type="expression" dxfId="25" priority="51">
      <formula>$P$32&gt;0</formula>
    </cfRule>
  </conditionalFormatting>
  <conditionalFormatting sqref="P33">
    <cfRule type="expression" dxfId="24" priority="46">
      <formula>$P$33&lt;0</formula>
    </cfRule>
    <cfRule type="expression" dxfId="23" priority="47">
      <formula>$P$33&gt;0</formula>
    </cfRule>
  </conditionalFormatting>
  <conditionalFormatting sqref="P34">
    <cfRule type="expression" dxfId="22" priority="42">
      <formula>$P$34&gt;0</formula>
    </cfRule>
    <cfRule type="expression" dxfId="21" priority="43">
      <formula>$P$34&lt;0</formula>
    </cfRule>
  </conditionalFormatting>
  <conditionalFormatting sqref="H4">
    <cfRule type="expression" dxfId="20" priority="1">
      <formula>$F$4=$G$4</formula>
    </cfRule>
    <cfRule type="expression" dxfId="19" priority="20">
      <formula>$F$4&lt;$G$4</formula>
    </cfRule>
    <cfRule type="expression" dxfId="18" priority="21">
      <formula>$F$4&gt;$G$4</formula>
    </cfRule>
  </conditionalFormatting>
  <conditionalFormatting sqref="H5">
    <cfRule type="expression" dxfId="17" priority="18">
      <formula>$H$5&gt;0</formula>
    </cfRule>
    <cfRule type="expression" dxfId="16" priority="19">
      <formula>$H$5&lt;0</formula>
    </cfRule>
  </conditionalFormatting>
  <conditionalFormatting sqref="H6">
    <cfRule type="expression" dxfId="15" priority="16">
      <formula>$H$6&lt;0</formula>
    </cfRule>
    <cfRule type="expression" dxfId="14" priority="17">
      <formula>$H$6&gt;0</formula>
    </cfRule>
  </conditionalFormatting>
  <conditionalFormatting sqref="H7">
    <cfRule type="expression" dxfId="13" priority="14">
      <formula>$F$7&lt;$G$7</formula>
    </cfRule>
    <cfRule type="expression" dxfId="12" priority="15">
      <formula>$F$7&gt;$G$7</formula>
    </cfRule>
  </conditionalFormatting>
  <conditionalFormatting sqref="H8:H9 H11:H13">
    <cfRule type="expression" dxfId="11" priority="12">
      <formula>$F$8&lt;$G$8</formula>
    </cfRule>
    <cfRule type="expression" dxfId="10" priority="13">
      <formula>$F$8&gt;$G$8</formula>
    </cfRule>
  </conditionalFormatting>
  <conditionalFormatting sqref="H9 H13">
    <cfRule type="expression" dxfId="9" priority="10">
      <formula>$F$9&lt;$G$9</formula>
    </cfRule>
    <cfRule type="expression" dxfId="8" priority="11">
      <formula>$F$9&gt;$G$9</formula>
    </cfRule>
  </conditionalFormatting>
  <conditionalFormatting sqref="H10">
    <cfRule type="expression" dxfId="7" priority="8">
      <formula>$F$10&lt;$G$10</formula>
    </cfRule>
    <cfRule type="expression" dxfId="6" priority="9">
      <formula>$F$10&gt;$G$10</formula>
    </cfRule>
  </conditionalFormatting>
  <conditionalFormatting sqref="H13">
    <cfRule type="expression" dxfId="5" priority="2">
      <formula>$F$13&lt;$G$13</formula>
    </cfRule>
    <cfRule type="expression" dxfId="4" priority="3">
      <formula>$F$13&gt;$G$13</formula>
    </cfRule>
  </conditionalFormatting>
  <conditionalFormatting sqref="H11:H13">
    <cfRule type="expression" dxfId="3" priority="68">
      <formula>$F$11&lt;$G$11</formula>
    </cfRule>
    <cfRule type="expression" dxfId="2" priority="69">
      <formula>$F$11&gt;$G$11</formula>
    </cfRule>
  </conditionalFormatting>
  <conditionalFormatting sqref="H12:H13">
    <cfRule type="expression" dxfId="1" priority="74">
      <formula>$F$12&lt;$G$12</formula>
    </cfRule>
    <cfRule type="expression" dxfId="0" priority="75">
      <formula>$F$12&gt;$G$12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customUI/customUI14.xml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Data</vt:lpstr>
      <vt:lpstr>Calculation</vt:lpstr>
      <vt:lpstr>Dashboard</vt:lpstr>
      <vt:lpstr>calc</vt:lpstr>
      <vt:lpstr>Months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Excel365@bidashboard.onmicrosoft.com;ExcelKID LLC;Excel Dashboard School</dc:creator>
  <cp:lastModifiedBy>Dilip Bagade, Gautam</cp:lastModifiedBy>
  <dcterms:created xsi:type="dcterms:W3CDTF">2016-06-07T02:04:43Z</dcterms:created>
  <dcterms:modified xsi:type="dcterms:W3CDTF">2023-06-13T18:40:22Z</dcterms:modified>
</cp:coreProperties>
</file>